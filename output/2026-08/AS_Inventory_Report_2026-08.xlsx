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itle KPIs" sheetId="2" state="visible" r:id="rId2"/>
    <sheet name="Campaign Detail" sheetId="3" state="visible" r:id="rId3"/>
    <sheet name="Placement Detail" sheetId="4" state="visible" r:id="rId4"/>
    <sheet name="Frequency" sheetId="5" state="visible" r:id="rId5"/>
    <sheet name="Daily Trend" sheetId="6" state="visible" r:id="rId6"/>
    <sheet name="Data Quality" sheetId="7" state="visible" r:id="rId7"/>
    <sheet name="AdOps Scope" sheetId="8" state="visible" r:id="rId8"/>
    <sheet name="Definitions" sheetId="9" state="visible" r:id="rId9"/>
  </sheets>
  <definedNames>
    <definedName name="_xlnm._FilterDatabase" localSheetId="2" hidden="1">'Campaign Detail'!$A$4:$Z$12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0.0%"/>
    <numFmt numFmtId="165" formatCode="$#,##0.00"/>
    <numFmt numFmtId="166" formatCode="#,##0;(#,##0);-"/>
    <numFmt numFmtId="167" formatCode="0.0%;(0.0%);-"/>
    <numFmt numFmtId="168" formatCode="$#,##0.00;($#,##0.00);-"/>
    <numFmt numFmtId="169" formatCode="+0.0%;-0.0%;-"/>
    <numFmt numFmtId="170" formatCode="yyyy-mm-dd h:mm:ss"/>
    <numFmt numFmtId="171" formatCode="yyyy-mm-dd"/>
  </numFmts>
  <fonts count="8">
    <font>
      <name val="Calibri"/>
      <family val="2"/>
      <color theme="1"/>
      <sz val="11"/>
      <scheme val="minor"/>
    </font>
    <font>
      <name val="Arial"/>
      <b val="1"/>
      <color rgb="001F2A44"/>
      <sz val="16"/>
    </font>
    <font>
      <name val="Arial"/>
      <i val="1"/>
      <color rgb="005F6B7A"/>
      <sz val="10"/>
    </font>
    <font>
      <name val="Arial"/>
      <color rgb="005F6B7A"/>
      <sz val="9"/>
    </font>
    <font>
      <name val="Arial"/>
      <b val="1"/>
      <color rgb="001F2A44"/>
      <sz val="15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2">
    <border>
      <left/>
      <right/>
      <top/>
      <bottom/>
      <diagonal/>
    </border>
    <border>
      <bottom style="thin">
        <color rgb="00D9DDE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 wrapText="1"/>
    </xf>
    <xf numFmtId="0" fontId="6" fillId="0" borderId="1" pivotButton="0" quotePrefix="0" xfId="0"/>
    <xf numFmtId="166" fontId="6" fillId="0" borderId="1" pivotButton="0" quotePrefix="0" xfId="0"/>
    <xf numFmtId="167" fontId="6" fillId="0" borderId="1" pivotButton="0" quotePrefix="0" xfId="0"/>
    <xf numFmtId="2" fontId="6" fillId="0" borderId="1" pivotButton="0" quotePrefix="0" xfId="0"/>
    <xf numFmtId="168" fontId="6" fillId="0" borderId="1" pivotButton="0" quotePrefix="0" xfId="0"/>
    <xf numFmtId="169" fontId="6" fillId="0" borderId="1" pivotButton="0" quotePrefix="0" xfId="0"/>
    <xf numFmtId="171" fontId="6" fillId="0" borderId="1" pivotButton="0" quotePrefix="0" xfId="0"/>
    <xf numFmtId="166" fontId="5" fillId="0" borderId="0" pivotButton="0" quotePrefix="0" xfId="0"/>
    <xf numFmtId="167" fontId="5" fillId="0" borderId="0" pivotButton="0" quotePrefix="0" xfId="0"/>
    <xf numFmtId="168" fontId="5" fillId="0" borderId="0" pivotButton="0" quotePrefix="0" xfId="0"/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F8D7D7"/>
        </patternFill>
      </fill>
    </dxf>
    <dxf>
      <fill>
        <patternFill patternType="solid">
          <fgColor rgb="00FCEBC8"/>
        </patternFill>
      </fill>
    </dxf>
    <dxf>
      <fill>
        <patternFill patternType="solid">
          <fgColor rgb="00D8EFDF"/>
        </patternFill>
      </fill>
    </dxf>
    <dxf>
      <fill>
        <patternFill patternType="solid">
          <fgColor rgb="00ECEFF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85725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8572500" cy="438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85725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  <col width="15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Ads &amp; Sponsorships Inventory Report — August 2026</t>
        </is>
      </c>
    </row>
    <row r="2">
      <c r="A2" s="2" t="inlineStr">
        <is>
          <t>Custom in-game inventory, AdOps-approved scope (8 campaigns). Generated 2026-10-19 20:53. Synthetic portfolio data.</t>
        </is>
      </c>
    </row>
    <row r="3"/>
    <row r="4">
      <c r="A4" s="3" t="inlineStr">
        <is>
          <t>Ad requests</t>
        </is>
      </c>
      <c r="C4" s="3" t="inlineStr">
        <is>
          <t>Paid impressions</t>
        </is>
      </c>
      <c r="E4" s="3" t="inlineStr">
        <is>
          <t>Sell-through</t>
        </is>
      </c>
      <c r="G4" s="3" t="inlineStr">
        <is>
          <t>Viewability</t>
        </is>
      </c>
      <c r="I4" s="3" t="inlineStr">
        <is>
          <t>Revenue (USD)</t>
        </is>
      </c>
      <c r="K4" s="3" t="inlineStr">
        <is>
          <t>eCPM (USD)</t>
        </is>
      </c>
    </row>
    <row r="5">
      <c r="A5" s="4" t="n">
        <v>660500</v>
      </c>
      <c r="C5" s="4" t="n">
        <v>165416</v>
      </c>
      <c r="E5" s="5" t="n">
        <v>0.250440575321726</v>
      </c>
      <c r="G5" s="5" t="n">
        <v>0.7801482323354452</v>
      </c>
      <c r="I5" s="6" t="n">
        <v>2515.04</v>
      </c>
      <c r="K5" s="6" t="n">
        <v>15.20433331721236</v>
      </c>
    </row>
    <row r="6"/>
    <row r="7">
      <c r="A7" s="7" t="inlineStr">
        <is>
          <t>Key callouts</t>
        </is>
      </c>
    </row>
    <row r="8" ht="28" customHeight="1">
      <c r="A8" s="8" t="inlineStr">
        <is>
          <t>•  165,416 paid impressions and $2,515 billable revenue across 4 titles; Gridiron 27 led revenue ($974, no prior month on file).</t>
        </is>
      </c>
    </row>
    <row r="9" ht="28" customHeight="1">
      <c r="A9" s="8" t="inlineStr">
        <is>
          <t>•  Below 70% viewability: End-zone branding (GRD, 60.2%), Kit sponsor overlay (PFC, 29.8%), Stadium LED boards (PFC, 68.4%).</t>
        </is>
      </c>
    </row>
    <row r="10" ht="28" customHeight="1">
      <c r="A10" s="8" t="inlineStr">
        <is>
          <t>•  CMP-26-012 Nimbus Streaming under-pacing at 79% flight-to-date (1,381 impressions behind).</t>
        </is>
      </c>
    </row>
    <row r="11" ht="28" customHeight="1">
      <c r="A11" s="8" t="inlineStr">
        <is>
          <t>•  CMP-26-001 Voltage Energy under-pacing at 84% flight-to-date (6,225 impressions behind).</t>
        </is>
      </c>
    </row>
    <row r="12" ht="28" customHeight="1">
      <c r="A12" s="8" t="inlineStr">
        <is>
          <t>•  CMP-26-002 Summit Motors under-pacing at 54% flight-to-date (3,925 impressions behind).</t>
        </is>
      </c>
    </row>
    <row r="13" ht="28" customHeight="1">
      <c r="A13" s="8" t="inlineStr">
        <is>
          <t>•  Over-pacing (&gt;110%): CMP-26-006 (121%). Over-delivery is not billed; review frequency caps / goal settings with AdOps.</t>
        </is>
      </c>
    </row>
    <row r="14" ht="28" customHeight="1">
      <c r="A14" s="8" t="inlineStr">
        <is>
          <t>•  Data-quality flags: Out-of-flight impressions = 0; Orphan impressions (quarantined) = 164; Orphan campaign IDs = 1. Excluded from reported totals; see Data Quality tab.</t>
        </is>
      </c>
    </row>
    <row r="15" ht="28" customHeight="1">
      <c r="A15" s="8" t="inlineStr">
        <is>
          <t>•  11 of 14 automated checks passed; 3 warnings need follow-up, 0 blocking failures.</t>
        </is>
      </c>
    </row>
    <row r="16"/>
    <row r="17">
      <c r="A17" s="7" t="inlineStr">
        <is>
          <t>By title</t>
        </is>
      </c>
    </row>
    <row r="18" ht="30" customHeight="1">
      <c r="A18" s="9" t="inlineStr">
        <is>
          <t>Title</t>
        </is>
      </c>
      <c r="B18" s="9" t="inlineStr">
        <is>
          <t>Ad Requests</t>
        </is>
      </c>
      <c r="C18" s="9" t="inlineStr">
        <is>
          <t>Fill Rate</t>
        </is>
      </c>
      <c r="D18" s="9" t="inlineStr">
        <is>
          <t>Paid Impressions</t>
        </is>
      </c>
      <c r="E18" s="9" t="inlineStr">
        <is>
          <t>Sell Through Rate</t>
        </is>
      </c>
      <c r="F18" s="9" t="inlineStr">
        <is>
          <t>Viewability Rate</t>
        </is>
      </c>
      <c r="G18" s="9" t="inlineStr">
        <is>
          <t>Unique Reach</t>
        </is>
      </c>
      <c r="H18" s="9" t="inlineStr">
        <is>
          <t>Avg Frequency</t>
        </is>
      </c>
      <c r="I18" s="9" t="inlineStr">
        <is>
          <t>Revenue (USD)</t>
        </is>
      </c>
      <c r="J18" s="9" t="inlineStr">
        <is>
          <t>eCPM (USD)</t>
        </is>
      </c>
      <c r="K18" s="9" t="inlineStr">
        <is>
          <t>Paid Imps MoM</t>
        </is>
      </c>
      <c r="L18" s="9" t="inlineStr">
        <is>
          <t>Revenue MoM</t>
        </is>
      </c>
    </row>
    <row r="19">
      <c r="A19" s="10" t="inlineStr">
        <is>
          <t>Dropzone Legends</t>
        </is>
      </c>
      <c r="B19" s="11" t="n">
        <v>169184</v>
      </c>
      <c r="C19" s="12" t="n">
        <v>0.773690183468886</v>
      </c>
      <c r="D19" s="11" t="n">
        <v>37401</v>
      </c>
      <c r="E19" s="12" t="n">
        <v>0.2210670039720068</v>
      </c>
      <c r="F19" s="12" t="n">
        <v>0.7366915323119703</v>
      </c>
      <c r="G19" s="11" t="n">
        <v>22382</v>
      </c>
      <c r="H19" s="13" t="n">
        <v>1.667277276382808</v>
      </c>
      <c r="I19" s="14" t="n">
        <v>445.48</v>
      </c>
      <c r="J19" s="14" t="n">
        <v>11.91091147295527</v>
      </c>
      <c r="K19" s="15" t="n"/>
      <c r="L19" s="15" t="n"/>
    </row>
    <row r="20">
      <c r="A20" s="10" t="inlineStr">
        <is>
          <t>Gridiron 27</t>
        </is>
      </c>
      <c r="B20" s="11" t="n">
        <v>199896</v>
      </c>
      <c r="C20" s="12" t="n">
        <v>0.7800056029135151</v>
      </c>
      <c r="D20" s="11" t="n">
        <v>45975</v>
      </c>
      <c r="E20" s="12" t="n">
        <v>0.2299945971905391</v>
      </c>
      <c r="F20" s="12" t="n">
        <v>0.7687438825448614</v>
      </c>
      <c r="G20" s="11" t="n">
        <v>21107</v>
      </c>
      <c r="H20" s="13" t="n">
        <v>2.173828587672336</v>
      </c>
      <c r="I20" s="14" t="n">
        <v>973.6799999999999</v>
      </c>
      <c r="J20" s="14" t="n">
        <v>21.17848830886351</v>
      </c>
      <c r="K20" s="15" t="n"/>
      <c r="L20" s="15" t="n"/>
    </row>
    <row r="21">
      <c r="A21" s="10" t="inlineStr">
        <is>
          <t>Hometown Life</t>
        </is>
      </c>
      <c r="B21" s="11" t="n">
        <v>127248</v>
      </c>
      <c r="C21" s="12" t="n">
        <v>0.8156827612221803</v>
      </c>
      <c r="D21" s="11" t="n">
        <v>43542</v>
      </c>
      <c r="E21" s="12" t="n">
        <v>0.342182195397963</v>
      </c>
      <c r="F21" s="12" t="n">
        <v>0.9939598548527858</v>
      </c>
      <c r="G21" s="11" t="n">
        <v>18354</v>
      </c>
      <c r="H21" s="13" t="n">
        <v>2.367276887871854</v>
      </c>
      <c r="I21" s="14" t="n">
        <v>560.7</v>
      </c>
      <c r="J21" s="14" t="n">
        <v>12.87713012723348</v>
      </c>
      <c r="K21" s="15" t="n"/>
      <c r="L21" s="15" t="n"/>
    </row>
    <row r="22">
      <c r="A22" s="10" t="inlineStr">
        <is>
          <t>Pitch FC 27</t>
        </is>
      </c>
      <c r="B22" s="11" t="n">
        <v>164172</v>
      </c>
      <c r="C22" s="12" t="n">
        <v>0.7743098701361987</v>
      </c>
      <c r="D22" s="11" t="n">
        <v>38498</v>
      </c>
      <c r="E22" s="12" t="n">
        <v>0.2344979655483274</v>
      </c>
      <c r="F22" s="12" t="n">
        <v>0.5941607356226297</v>
      </c>
      <c r="G22" s="11" t="n">
        <v>20422</v>
      </c>
      <c r="H22" s="13" t="n">
        <v>1.881696209969641</v>
      </c>
      <c r="I22" s="14" t="n">
        <v>535.1799999999999</v>
      </c>
      <c r="J22" s="14" t="n">
        <v>13.90139747519352</v>
      </c>
      <c r="K22" s="15" t="n"/>
      <c r="L22" s="15" t="n"/>
    </row>
  </sheetData>
  <mergeCells count="8">
    <mergeCell ref="A15:L15"/>
    <mergeCell ref="A10:L10"/>
    <mergeCell ref="A11:L11"/>
    <mergeCell ref="A13:L13"/>
    <mergeCell ref="A8:L8"/>
    <mergeCell ref="A14:L14"/>
    <mergeCell ref="A9:L9"/>
    <mergeCell ref="A12:L1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8" customWidth="1" min="2" max="2"/>
    <col width="13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5" customWidth="1" min="10" max="10"/>
    <col width="16" customWidth="1" min="11" max="11"/>
    <col width="13" customWidth="1" min="12" max="12"/>
    <col width="12" customWidth="1" min="13" max="13"/>
    <col width="16" customWidth="1" min="14" max="14"/>
    <col width="13" customWidth="1" min="15" max="15"/>
    <col width="16" customWidth="1" min="16" max="16"/>
    <col width="16" customWidth="1" min="17" max="17"/>
  </cols>
  <sheetData>
    <row r="1">
      <c r="A1" s="1" t="inlineStr">
        <is>
          <t>Title KPIs</t>
        </is>
      </c>
    </row>
    <row r="2">
      <c r="A2" s="2" t="inlineStr">
        <is>
          <t>August 2026 vs prior month. MoM rates shown as % change; rate KPIs as point change.</t>
        </is>
      </c>
    </row>
    <row r="3"/>
    <row r="4" ht="30" customHeight="1">
      <c r="A4" s="9" t="inlineStr">
        <is>
          <t>Title Id</t>
        </is>
      </c>
      <c r="B4" s="9" t="inlineStr">
        <is>
          <t>Title Name</t>
        </is>
      </c>
      <c r="C4" s="9" t="inlineStr">
        <is>
          <t>Ad Requests</t>
        </is>
      </c>
      <c r="D4" s="9" t="inlineStr">
        <is>
          <t>Fill Rate</t>
        </is>
      </c>
      <c r="E4" s="9" t="inlineStr">
        <is>
          <t>Paid Impressions</t>
        </is>
      </c>
      <c r="F4" s="9" t="inlineStr">
        <is>
          <t>House Impressions</t>
        </is>
      </c>
      <c r="G4" s="9" t="inlineStr">
        <is>
          <t>Sell Through Rate</t>
        </is>
      </c>
      <c r="H4" s="9" t="inlineStr">
        <is>
          <t>Viewability Rate</t>
        </is>
      </c>
      <c r="I4" s="9" t="inlineStr">
        <is>
          <t>Paid Unique Reach</t>
        </is>
      </c>
      <c r="J4" s="9" t="inlineStr">
        <is>
          <t>Avg Frequency</t>
        </is>
      </c>
      <c r="K4" s="9" t="inlineStr">
        <is>
          <t>Live Campaigns</t>
        </is>
      </c>
      <c r="L4" s="9" t="inlineStr">
        <is>
          <t>Revenue Usd</t>
        </is>
      </c>
      <c r="M4" s="9" t="inlineStr">
        <is>
          <t>Ecpm Usd</t>
        </is>
      </c>
      <c r="N4" s="9" t="inlineStr">
        <is>
          <t>Paid Impressions Mom</t>
        </is>
      </c>
      <c r="O4" s="9" t="inlineStr">
        <is>
          <t>Revenue Mom</t>
        </is>
      </c>
      <c r="P4" s="9" t="inlineStr">
        <is>
          <t>Viewability Mom Pts</t>
        </is>
      </c>
      <c r="Q4" s="9" t="inlineStr">
        <is>
          <t>Sell Through Mom Pts</t>
        </is>
      </c>
    </row>
    <row r="5">
      <c r="A5" s="10" t="inlineStr">
        <is>
          <t>DZL</t>
        </is>
      </c>
      <c r="B5" s="10" t="inlineStr">
        <is>
          <t>Dropzone Legends</t>
        </is>
      </c>
      <c r="C5" s="11" t="n">
        <v>169184</v>
      </c>
      <c r="D5" s="12" t="n">
        <v>0.773690183468886</v>
      </c>
      <c r="E5" s="11" t="n">
        <v>37401</v>
      </c>
      <c r="F5" s="11" t="n">
        <v>92706</v>
      </c>
      <c r="G5" s="12" t="n">
        <v>0.2210670039720068</v>
      </c>
      <c r="H5" s="12" t="n">
        <v>0.7366915323119703</v>
      </c>
      <c r="I5" s="11" t="n">
        <v>22382</v>
      </c>
      <c r="J5" s="13" t="n">
        <v>1.667277276382808</v>
      </c>
      <c r="K5" s="11" t="n">
        <v>2</v>
      </c>
      <c r="L5" s="14" t="n">
        <v>445.48</v>
      </c>
      <c r="M5" s="14" t="n">
        <v>11.91091147295527</v>
      </c>
      <c r="N5" s="15" t="n"/>
      <c r="O5" s="15" t="n"/>
      <c r="P5" s="15" t="n"/>
      <c r="Q5" s="15" t="n"/>
    </row>
    <row r="6">
      <c r="A6" s="10" t="inlineStr">
        <is>
          <t>GRD</t>
        </is>
      </c>
      <c r="B6" s="10" t="inlineStr">
        <is>
          <t>Gridiron 27</t>
        </is>
      </c>
      <c r="C6" s="11" t="n">
        <v>199896</v>
      </c>
      <c r="D6" s="12" t="n">
        <v>0.7800056029135151</v>
      </c>
      <c r="E6" s="11" t="n">
        <v>45975</v>
      </c>
      <c r="F6" s="11" t="n">
        <v>108956</v>
      </c>
      <c r="G6" s="12" t="n">
        <v>0.2299945971905391</v>
      </c>
      <c r="H6" s="12" t="n">
        <v>0.7687438825448614</v>
      </c>
      <c r="I6" s="11" t="n">
        <v>21107</v>
      </c>
      <c r="J6" s="13" t="n">
        <v>2.173828587672336</v>
      </c>
      <c r="K6" s="11" t="n">
        <v>2</v>
      </c>
      <c r="L6" s="14" t="n">
        <v>973.6799999999999</v>
      </c>
      <c r="M6" s="14" t="n">
        <v>21.17848830886351</v>
      </c>
      <c r="N6" s="15" t="n"/>
      <c r="O6" s="15" t="n"/>
      <c r="P6" s="15" t="n"/>
      <c r="Q6" s="15" t="n"/>
    </row>
    <row r="7">
      <c r="A7" s="10" t="inlineStr">
        <is>
          <t>HTL</t>
        </is>
      </c>
      <c r="B7" s="10" t="inlineStr">
        <is>
          <t>Hometown Life</t>
        </is>
      </c>
      <c r="C7" s="11" t="n">
        <v>127248</v>
      </c>
      <c r="D7" s="12" t="n">
        <v>0.8156827612221803</v>
      </c>
      <c r="E7" s="11" t="n">
        <v>43542</v>
      </c>
      <c r="F7" s="11" t="n">
        <v>57062</v>
      </c>
      <c r="G7" s="12" t="n">
        <v>0.342182195397963</v>
      </c>
      <c r="H7" s="12" t="n">
        <v>0.9939598548527858</v>
      </c>
      <c r="I7" s="11" t="n">
        <v>18354</v>
      </c>
      <c r="J7" s="13" t="n">
        <v>2.367276887871854</v>
      </c>
      <c r="K7" s="11" t="n">
        <v>2</v>
      </c>
      <c r="L7" s="14" t="n">
        <v>560.7</v>
      </c>
      <c r="M7" s="14" t="n">
        <v>12.87713012723348</v>
      </c>
      <c r="N7" s="15" t="n"/>
      <c r="O7" s="15" t="n"/>
      <c r="P7" s="15" t="n"/>
      <c r="Q7" s="15" t="n"/>
    </row>
    <row r="8">
      <c r="A8" s="10" t="inlineStr">
        <is>
          <t>PFC</t>
        </is>
      </c>
      <c r="B8" s="10" t="inlineStr">
        <is>
          <t>Pitch FC 27</t>
        </is>
      </c>
      <c r="C8" s="11" t="n">
        <v>164172</v>
      </c>
      <c r="D8" s="12" t="n">
        <v>0.7743098701361987</v>
      </c>
      <c r="E8" s="11" t="n">
        <v>38498</v>
      </c>
      <c r="F8" s="11" t="n">
        <v>87838</v>
      </c>
      <c r="G8" s="12" t="n">
        <v>0.2344979655483274</v>
      </c>
      <c r="H8" s="12" t="n">
        <v>0.5941607356226297</v>
      </c>
      <c r="I8" s="11" t="n">
        <v>20422</v>
      </c>
      <c r="J8" s="13" t="n">
        <v>1.881696209969641</v>
      </c>
      <c r="K8" s="11" t="n">
        <v>2</v>
      </c>
      <c r="L8" s="14" t="n">
        <v>535.1799999999999</v>
      </c>
      <c r="M8" s="14" t="n">
        <v>13.90139747519352</v>
      </c>
      <c r="N8" s="15" t="n"/>
      <c r="O8" s="15" t="n"/>
      <c r="P8" s="15" t="n"/>
      <c r="Q8" s="1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0" customWidth="1" min="2" max="2"/>
    <col width="13" customWidth="1" min="3" max="3"/>
    <col width="10" customWidth="1" min="4" max="4"/>
    <col width="33" customWidth="1" min="5" max="5"/>
    <col width="25" customWidth="1" min="6" max="6"/>
    <col width="21" customWidth="1" min="7" max="7"/>
    <col width="21" customWidth="1" min="8" max="8"/>
    <col width="16" customWidth="1" min="9" max="9"/>
    <col width="16" customWidth="1" min="10" max="10"/>
    <col width="14" customWidth="1" min="11" max="11"/>
    <col width="21" customWidth="1" min="12" max="12"/>
    <col width="16" customWidth="1" min="13" max="13"/>
    <col width="16" customWidth="1" min="14" max="14"/>
    <col width="16" customWidth="1" min="15" max="15"/>
    <col width="15" customWidth="1" min="16" max="16"/>
    <col width="16" customWidth="1" min="17" max="17"/>
    <col width="21" customWidth="1" min="18" max="18"/>
    <col width="14" customWidth="1" min="19" max="19"/>
    <col width="15" customWidth="1" min="20" max="20"/>
    <col width="14" customWidth="1" min="21" max="21"/>
    <col width="16" customWidth="1" min="22" max="22"/>
    <col width="16" customWidth="1" min="23" max="23"/>
    <col width="12" customWidth="1" min="24" max="24"/>
    <col width="15" customWidth="1" min="25" max="25"/>
    <col width="12" customWidth="1" min="26" max="26"/>
  </cols>
  <sheetData>
    <row r="1">
      <c r="A1" s="1" t="inlineStr">
        <is>
          <t>Campaign Detail</t>
        </is>
      </c>
    </row>
    <row r="2">
      <c r="A2" s="2" t="inlineStr">
        <is>
          <t>In-scope campaigns only. Pacing status uses flight-to-date delivery vs straight-line goal.</t>
        </is>
      </c>
    </row>
    <row r="3"/>
    <row r="4" ht="30" customHeight="1">
      <c r="A4" s="9" t="inlineStr">
        <is>
          <t>Campaign ID</t>
        </is>
      </c>
      <c r="B4" s="9" t="inlineStr">
        <is>
          <t>Advertiser</t>
        </is>
      </c>
      <c r="C4" s="9" t="inlineStr">
        <is>
          <t>Vertical</t>
        </is>
      </c>
      <c r="D4" s="9" t="inlineStr">
        <is>
          <t>Title Id</t>
        </is>
      </c>
      <c r="E4" s="9" t="inlineStr">
        <is>
          <t>Placement Ids</t>
        </is>
      </c>
      <c r="F4" s="9" t="inlineStr">
        <is>
          <t>Sold By</t>
        </is>
      </c>
      <c r="G4" s="9" t="inlineStr">
        <is>
          <t>Flight Start</t>
        </is>
      </c>
      <c r="H4" s="9" t="inlineStr">
        <is>
          <t>Flight End</t>
        </is>
      </c>
      <c r="I4" s="9" t="inlineStr">
        <is>
          <t>Booked Impressions</t>
        </is>
      </c>
      <c r="J4" s="9" t="inlineStr">
        <is>
          <t>Expected Impressions Month</t>
        </is>
      </c>
      <c r="K4" s="9" t="inlineStr">
        <is>
          <t>Impressions</t>
        </is>
      </c>
      <c r="L4" s="9" t="inlineStr">
        <is>
          <t>Delivery Pct Month</t>
        </is>
      </c>
      <c r="M4" s="9" t="inlineStr">
        <is>
          <t>Delivered To Date</t>
        </is>
      </c>
      <c r="N4" s="9" t="inlineStr">
        <is>
          <t>Expected Impressions To Date</t>
        </is>
      </c>
      <c r="O4" s="9" t="inlineStr">
        <is>
          <t>Pacing Pct To Date</t>
        </is>
      </c>
      <c r="P4" s="9" t="inlineStr">
        <is>
          <t>Pacing Status</t>
        </is>
      </c>
      <c r="Q4" s="9" t="inlineStr">
        <is>
          <t>Viewable Impressions</t>
        </is>
      </c>
      <c r="R4" s="9" t="inlineStr">
        <is>
          <t>Viewability Rate</t>
        </is>
      </c>
      <c r="S4" s="9" t="inlineStr">
        <is>
          <t>Unique Reach</t>
        </is>
      </c>
      <c r="T4" s="9" t="inlineStr">
        <is>
          <t>Avg Frequency</t>
        </is>
      </c>
      <c r="U4" s="9" t="inlineStr">
        <is>
          <t>Video Starts</t>
        </is>
      </c>
      <c r="V4" s="9" t="inlineStr">
        <is>
          <t>Video Completion Rate</t>
        </is>
      </c>
      <c r="W4" s="9" t="inlineStr">
        <is>
          <t>Billable Impressions</t>
        </is>
      </c>
      <c r="X4" s="9" t="inlineStr">
        <is>
          <t>CPM (USD)</t>
        </is>
      </c>
      <c r="Y4" s="9" t="inlineStr">
        <is>
          <t>Revenue (USD)</t>
        </is>
      </c>
      <c r="Z4" s="9" t="inlineStr">
        <is>
          <t>AdOps Note</t>
        </is>
      </c>
    </row>
    <row r="5">
      <c r="A5" s="10" t="inlineStr">
        <is>
          <t>CMP-26-010</t>
        </is>
      </c>
      <c r="B5" s="10" t="inlineStr">
        <is>
          <t>Halo Headphones</t>
        </is>
      </c>
      <c r="C5" s="10" t="inlineStr">
        <is>
          <t>electronics</t>
        </is>
      </c>
      <c r="D5" s="10" t="inlineStr">
        <is>
          <t>DZL</t>
        </is>
      </c>
      <c r="E5" s="10" t="inlineStr">
        <is>
          <t>DZL-LOBBY-BILL</t>
        </is>
      </c>
      <c r="F5" s="10" t="inlineStr">
        <is>
          <t>Direct</t>
        </is>
      </c>
      <c r="G5" s="16" t="n">
        <v>46235</v>
      </c>
      <c r="H5" s="16" t="n">
        <v>46265</v>
      </c>
      <c r="I5" s="11" t="n">
        <v>33000</v>
      </c>
      <c r="J5" s="11" t="n">
        <v>33000</v>
      </c>
      <c r="K5" s="11" t="n">
        <v>32296</v>
      </c>
      <c r="L5" s="12" t="n">
        <v>0.9786666666666667</v>
      </c>
      <c r="M5" s="11" t="n">
        <v>32296</v>
      </c>
      <c r="N5" s="11" t="n">
        <v>33000</v>
      </c>
      <c r="O5" s="12" t="n">
        <v>0.9786666666666667</v>
      </c>
      <c r="P5" s="10" t="inlineStr">
        <is>
          <t>ON PACE</t>
        </is>
      </c>
      <c r="Q5" s="11" t="n">
        <v>22741</v>
      </c>
      <c r="R5" s="12" t="n">
        <v>0.7041429279167699</v>
      </c>
      <c r="S5" s="11" t="n">
        <v>20270</v>
      </c>
      <c r="T5" s="13" t="n">
        <v>1.589738529847065</v>
      </c>
      <c r="U5" s="11" t="n">
        <v>0</v>
      </c>
      <c r="V5" s="12" t="n"/>
      <c r="W5" s="11" t="n">
        <v>32296</v>
      </c>
      <c r="X5" s="14" t="n">
        <v>10</v>
      </c>
      <c r="Y5" s="14" t="n">
        <v>322.96</v>
      </c>
      <c r="Z5" s="10" t="inlineStr"/>
    </row>
    <row r="6">
      <c r="A6" s="10" t="inlineStr">
        <is>
          <t>CMP-26-012</t>
        </is>
      </c>
      <c r="B6" s="10" t="inlineStr">
        <is>
          <t>Nimbus Streaming</t>
        </is>
      </c>
      <c r="C6" s="10" t="inlineStr">
        <is>
          <t>media</t>
        </is>
      </c>
      <c r="D6" s="10" t="inlineStr">
        <is>
          <t>DZL</t>
        </is>
      </c>
      <c r="E6" s="10" t="inlineStr">
        <is>
          <t>DZL-LOADING-VID</t>
        </is>
      </c>
      <c r="F6" s="10" t="inlineStr">
        <is>
          <t>Programmatic Guaranteed</t>
        </is>
      </c>
      <c r="G6" s="16" t="n">
        <v>46254</v>
      </c>
      <c r="H6" s="16" t="n">
        <v>46290</v>
      </c>
      <c r="I6" s="11" t="n">
        <v>20000</v>
      </c>
      <c r="J6" s="11" t="n">
        <v>6486</v>
      </c>
      <c r="K6" s="11" t="n">
        <v>5105</v>
      </c>
      <c r="L6" s="12" t="n">
        <v>0.7870208333333333</v>
      </c>
      <c r="M6" s="11" t="n">
        <v>5105</v>
      </c>
      <c r="N6" s="11" t="n">
        <v>6486</v>
      </c>
      <c r="O6" s="12" t="n">
        <v>0.7870208333333333</v>
      </c>
      <c r="P6" s="10" t="inlineStr">
        <is>
          <t>UNDER-PACING</t>
        </is>
      </c>
      <c r="Q6" s="11" t="n">
        <v>4812</v>
      </c>
      <c r="R6" s="12" t="n">
        <v>0.9426052889324192</v>
      </c>
      <c r="S6" s="11" t="n">
        <v>4552</v>
      </c>
      <c r="T6" s="13" t="n">
        <v>1.118848857644991</v>
      </c>
      <c r="U6" s="11" t="n">
        <v>5105</v>
      </c>
      <c r="V6" s="12" t="n">
        <v>0.4889324191968658</v>
      </c>
      <c r="W6" s="11" t="n">
        <v>5105</v>
      </c>
      <c r="X6" s="14" t="n">
        <v>24</v>
      </c>
      <c r="Y6" s="14" t="n">
        <v>122.52</v>
      </c>
      <c r="Z6" s="10" t="inlineStr"/>
    </row>
    <row r="7">
      <c r="A7" s="10" t="inlineStr">
        <is>
          <t>CMP-26-005</t>
        </is>
      </c>
      <c r="B7" s="10" t="inlineStr">
        <is>
          <t>Crisp Chips</t>
        </is>
      </c>
      <c r="C7" s="10" t="inlineStr">
        <is>
          <t>cpg</t>
        </is>
      </c>
      <c r="D7" s="10" t="inlineStr">
        <is>
          <t>GRD</t>
        </is>
      </c>
      <c r="E7" s="10" t="inlineStr">
        <is>
          <t>GRD-ENDZONE</t>
        </is>
      </c>
      <c r="F7" s="10" t="inlineStr">
        <is>
          <t>Direct</t>
        </is>
      </c>
      <c r="G7" s="16" t="n">
        <v>46244</v>
      </c>
      <c r="H7" s="16" t="n">
        <v>46275</v>
      </c>
      <c r="I7" s="11" t="n">
        <v>32000</v>
      </c>
      <c r="J7" s="11" t="n">
        <v>22000</v>
      </c>
      <c r="K7" s="11" t="n">
        <v>23857</v>
      </c>
      <c r="L7" s="12" t="n">
        <v>1.084409090909091</v>
      </c>
      <c r="M7" s="11" t="n">
        <v>23857</v>
      </c>
      <c r="N7" s="11" t="n">
        <v>22000</v>
      </c>
      <c r="O7" s="12" t="n">
        <v>1.084409090909091</v>
      </c>
      <c r="P7" s="10" t="inlineStr">
        <is>
          <t>ON PACE</t>
        </is>
      </c>
      <c r="Q7" s="11" t="n">
        <v>14354</v>
      </c>
      <c r="R7" s="12" t="n">
        <v>0.6016682734627153</v>
      </c>
      <c r="S7" s="11" t="n">
        <v>14135</v>
      </c>
      <c r="T7" s="13" t="n">
        <v>1.684188185355501</v>
      </c>
      <c r="U7" s="11" t="n">
        <v>0</v>
      </c>
      <c r="V7" s="12" t="n"/>
      <c r="W7" s="11" t="n">
        <v>23857</v>
      </c>
      <c r="X7" s="14" t="n">
        <v>13</v>
      </c>
      <c r="Y7" s="14" t="n">
        <v>310.14</v>
      </c>
      <c r="Z7" s="10" t="inlineStr"/>
    </row>
    <row r="8">
      <c r="A8" s="10" t="inlineStr">
        <is>
          <t>CMP-26-006</t>
        </is>
      </c>
      <c r="B8" s="10" t="inlineStr">
        <is>
          <t>Ironclad Insurance</t>
        </is>
      </c>
      <c r="C8" s="10" t="inlineStr">
        <is>
          <t>finance</t>
        </is>
      </c>
      <c r="D8" s="10" t="inlineStr">
        <is>
          <t>GRD</t>
        </is>
      </c>
      <c r="E8" s="10" t="inlineStr">
        <is>
          <t>GRD-BROADCAST</t>
        </is>
      </c>
      <c r="F8" s="10" t="inlineStr">
        <is>
          <t>Programmatic Guaranteed</t>
        </is>
      </c>
      <c r="G8" s="16" t="n">
        <v>46235</v>
      </c>
      <c r="H8" s="16" t="n">
        <v>46295</v>
      </c>
      <c r="I8" s="11" t="n">
        <v>36000</v>
      </c>
      <c r="J8" s="11" t="n">
        <v>18295</v>
      </c>
      <c r="K8" s="11" t="n">
        <v>22118</v>
      </c>
      <c r="L8" s="12" t="n">
        <v>1.208958781362007</v>
      </c>
      <c r="M8" s="11" t="n">
        <v>22118</v>
      </c>
      <c r="N8" s="11" t="n">
        <v>18295</v>
      </c>
      <c r="O8" s="12" t="n">
        <v>1.208958781362007</v>
      </c>
      <c r="P8" s="10" t="inlineStr">
        <is>
          <t>OVER-PACING</t>
        </is>
      </c>
      <c r="Q8" s="11" t="n">
        <v>20989</v>
      </c>
      <c r="R8" s="12" t="n">
        <v>0.9489556017723122</v>
      </c>
      <c r="S8" s="11" t="n">
        <v>13638</v>
      </c>
      <c r="T8" s="13" t="n">
        <v>1.618785745710515</v>
      </c>
      <c r="U8" s="11" t="n">
        <v>22118</v>
      </c>
      <c r="V8" s="12" t="n">
        <v>0.5511800343611538</v>
      </c>
      <c r="W8" s="11" t="n">
        <v>22118</v>
      </c>
      <c r="X8" s="14" t="n">
        <v>30</v>
      </c>
      <c r="Y8" s="14" t="n">
        <v>663.54</v>
      </c>
      <c r="Z8" s="10" t="inlineStr"/>
    </row>
    <row r="9">
      <c r="A9" s="10" t="inlineStr">
        <is>
          <t>CMP-26-014</t>
        </is>
      </c>
      <c r="B9" s="10" t="inlineStr">
        <is>
          <t>FreshCart Grocery</t>
        </is>
      </c>
      <c r="C9" s="10" t="inlineStr">
        <is>
          <t>retail</t>
        </is>
      </c>
      <c r="D9" s="10" t="inlineStr">
        <is>
          <t>HTL</t>
        </is>
      </c>
      <c r="E9" s="10" t="inlineStr">
        <is>
          <t>HTL-REWARDED-VID</t>
        </is>
      </c>
      <c r="F9" s="10" t="inlineStr">
        <is>
          <t>Programmatic Guaranteed</t>
        </is>
      </c>
      <c r="G9" s="16" t="n">
        <v>46235</v>
      </c>
      <c r="H9" s="16" t="n">
        <v>46295</v>
      </c>
      <c r="I9" s="11" t="n">
        <v>57000</v>
      </c>
      <c r="J9" s="11" t="n">
        <v>28967</v>
      </c>
      <c r="K9" s="11" t="n">
        <v>26545</v>
      </c>
      <c r="L9" s="12" t="n">
        <v>0.916380871533673</v>
      </c>
      <c r="M9" s="11" t="n">
        <v>26545</v>
      </c>
      <c r="N9" s="11" t="n">
        <v>28967</v>
      </c>
      <c r="O9" s="12" t="n">
        <v>0.916380871533673</v>
      </c>
      <c r="P9" s="10" t="inlineStr">
        <is>
          <t>ON PACE</t>
        </is>
      </c>
      <c r="Q9" s="11" t="n">
        <v>26331</v>
      </c>
      <c r="R9" s="12" t="n">
        <v>0.9919382181201732</v>
      </c>
      <c r="S9" s="11" t="n">
        <v>14022</v>
      </c>
      <c r="T9" s="13" t="n">
        <v>1.88881757238625</v>
      </c>
      <c r="U9" s="11" t="n">
        <v>26545</v>
      </c>
      <c r="V9" s="12" t="n">
        <v>0.9295912601243171</v>
      </c>
      <c r="W9" s="11" t="n">
        <v>26545</v>
      </c>
      <c r="X9" s="14" t="n">
        <v>16</v>
      </c>
      <c r="Y9" s="14" t="n">
        <v>424.72</v>
      </c>
      <c r="Z9" s="10" t="inlineStr"/>
    </row>
    <row r="10">
      <c r="A10" s="10" t="inlineStr">
        <is>
          <t>CMP-26-017</t>
        </is>
      </c>
      <c r="B10" s="10" t="inlineStr">
        <is>
          <t>Lumen Bank</t>
        </is>
      </c>
      <c r="C10" s="10" t="inlineStr">
        <is>
          <t>finance</t>
        </is>
      </c>
      <c r="D10" s="10" t="inlineStr">
        <is>
          <t>HTL</t>
        </is>
      </c>
      <c r="E10" s="10" t="inlineStr">
        <is>
          <t>HTL-INTERSTITIAL</t>
        </is>
      </c>
      <c r="F10" s="10" t="inlineStr">
        <is>
          <t>Direct</t>
        </is>
      </c>
      <c r="G10" s="16" t="n">
        <v>46235</v>
      </c>
      <c r="H10" s="16" t="n">
        <v>46265</v>
      </c>
      <c r="I10" s="11" t="n">
        <v>18000</v>
      </c>
      <c r="J10" s="11" t="n">
        <v>18000</v>
      </c>
      <c r="K10" s="11" t="n">
        <v>16997</v>
      </c>
      <c r="L10" s="12" t="n">
        <v>0.9442777777777778</v>
      </c>
      <c r="M10" s="11" t="n">
        <v>16997</v>
      </c>
      <c r="N10" s="11" t="n">
        <v>18000</v>
      </c>
      <c r="O10" s="12" t="n">
        <v>0.9442777777777778</v>
      </c>
      <c r="P10" s="10" t="inlineStr">
        <is>
          <t>ON PACE</t>
        </is>
      </c>
      <c r="Q10" s="11" t="n">
        <v>16948</v>
      </c>
      <c r="R10" s="12" t="n">
        <v>0.9971171383185268</v>
      </c>
      <c r="S10" s="11" t="n">
        <v>10393</v>
      </c>
      <c r="T10" s="13" t="n">
        <v>1.632252477629174</v>
      </c>
      <c r="U10" s="11" t="n">
        <v>0</v>
      </c>
      <c r="V10" s="12" t="n"/>
      <c r="W10" s="11" t="n">
        <v>16997</v>
      </c>
      <c r="X10" s="14" t="n">
        <v>8</v>
      </c>
      <c r="Y10" s="14" t="n">
        <v>135.98</v>
      </c>
      <c r="Z10" s="10" t="inlineStr"/>
    </row>
    <row r="11">
      <c r="A11" s="10" t="inlineStr">
        <is>
          <t>CMP-26-001</t>
        </is>
      </c>
      <c r="B11" s="10" t="inlineStr">
        <is>
          <t>Voltage Energy</t>
        </is>
      </c>
      <c r="C11" s="10" t="inlineStr">
        <is>
          <t>beverage</t>
        </is>
      </c>
      <c r="D11" s="10" t="inlineStr">
        <is>
          <t>PFC</t>
        </is>
      </c>
      <c r="E11" s="10" t="inlineStr">
        <is>
          <t>PFC-LED-STADIUM|PFC-KIT-SPONSOR</t>
        </is>
      </c>
      <c r="F11" s="10" t="inlineStr">
        <is>
          <t>Programmatic Guaranteed</t>
        </is>
      </c>
      <c r="G11" s="16" t="n">
        <v>46235</v>
      </c>
      <c r="H11" s="16" t="n">
        <v>46295</v>
      </c>
      <c r="I11" s="11" t="n">
        <v>79000</v>
      </c>
      <c r="J11" s="11" t="n">
        <v>40148</v>
      </c>
      <c r="K11" s="11" t="n">
        <v>33923</v>
      </c>
      <c r="L11" s="12" t="n">
        <v>0.8449583503470804</v>
      </c>
      <c r="M11" s="11" t="n">
        <v>33923</v>
      </c>
      <c r="N11" s="11" t="n">
        <v>40148</v>
      </c>
      <c r="O11" s="12" t="n">
        <v>0.8449583503470804</v>
      </c>
      <c r="P11" s="10" t="inlineStr">
        <is>
          <t>UNDER-PACING</t>
        </is>
      </c>
      <c r="Q11" s="11" t="n">
        <v>18515</v>
      </c>
      <c r="R11" s="12" t="n">
        <v>0.5457948884237833</v>
      </c>
      <c r="S11" s="11" t="n">
        <v>18877</v>
      </c>
      <c r="T11" s="13" t="n">
        <v>1.793611272977698</v>
      </c>
      <c r="U11" s="11" t="n">
        <v>0</v>
      </c>
      <c r="V11" s="12" t="n"/>
      <c r="W11" s="11" t="n">
        <v>33923</v>
      </c>
      <c r="X11" s="14" t="n">
        <v>12</v>
      </c>
      <c r="Y11" s="14" t="n">
        <v>407.08</v>
      </c>
      <c r="Z11" s="10" t="inlineStr"/>
    </row>
    <row r="12">
      <c r="A12" s="10" t="inlineStr">
        <is>
          <t>CMP-26-002</t>
        </is>
      </c>
      <c r="B12" s="10" t="inlineStr">
        <is>
          <t>Summit Motors</t>
        </is>
      </c>
      <c r="C12" s="10" t="inlineStr">
        <is>
          <t>auto</t>
        </is>
      </c>
      <c r="D12" s="10" t="inlineStr">
        <is>
          <t>PFC</t>
        </is>
      </c>
      <c r="E12" s="10" t="inlineStr">
        <is>
          <t>PFC-HALFTIME-VID</t>
        </is>
      </c>
      <c r="F12" s="10" t="inlineStr">
        <is>
          <t>Direct</t>
        </is>
      </c>
      <c r="G12" s="16" t="n">
        <v>46249</v>
      </c>
      <c r="H12" s="16" t="n">
        <v>46310</v>
      </c>
      <c r="I12" s="11" t="n">
        <v>31000</v>
      </c>
      <c r="J12" s="11" t="n">
        <v>8500</v>
      </c>
      <c r="K12" s="11" t="n">
        <v>4575</v>
      </c>
      <c r="L12" s="12" t="n">
        <v>0.538235294117647</v>
      </c>
      <c r="M12" s="11" t="n">
        <v>4575</v>
      </c>
      <c r="N12" s="11" t="n">
        <v>8500</v>
      </c>
      <c r="O12" s="12" t="n">
        <v>0.538235294117647</v>
      </c>
      <c r="P12" s="10" t="inlineStr">
        <is>
          <t>UNDER-PACING</t>
        </is>
      </c>
      <c r="Q12" s="11" t="n">
        <v>4359</v>
      </c>
      <c r="R12" s="12" t="n">
        <v>0.9527868852459016</v>
      </c>
      <c r="S12" s="11" t="n">
        <v>3998</v>
      </c>
      <c r="T12" s="13" t="n">
        <v>1.143071535767884</v>
      </c>
      <c r="U12" s="11" t="n">
        <v>4575</v>
      </c>
      <c r="V12" s="12" t="n">
        <v>0.6244808743169399</v>
      </c>
      <c r="W12" s="11" t="n">
        <v>4575</v>
      </c>
      <c r="X12" s="14" t="n">
        <v>28</v>
      </c>
      <c r="Y12" s="14" t="n">
        <v>128.1</v>
      </c>
      <c r="Z12" s="10" t="inlineStr"/>
    </row>
    <row r="13">
      <c r="A13" s="7" t="inlineStr">
        <is>
          <t>Total</t>
        </is>
      </c>
      <c r="I13" s="17">
        <f>SUM(I5:I12)</f>
        <v/>
      </c>
      <c r="J13" s="17">
        <f>SUM(J5:J12)</f>
        <v/>
      </c>
      <c r="K13" s="17">
        <f>SUM(K5:K12)</f>
        <v/>
      </c>
      <c r="L13" s="18">
        <f>IFERROR(K13/J13,0)</f>
        <v/>
      </c>
      <c r="Q13" s="17">
        <f>SUM(Q5:Q12)</f>
        <v/>
      </c>
      <c r="R13" s="18">
        <f>IFERROR(Q13/K13,0)</f>
        <v/>
      </c>
      <c r="U13" s="17">
        <f>SUM(U5:U12)</f>
        <v/>
      </c>
      <c r="W13" s="17">
        <f>SUM(W5:W12)</f>
        <v/>
      </c>
      <c r="Y13" s="19">
        <f>SUM(Y5:Y12)</f>
        <v/>
      </c>
    </row>
  </sheetData>
  <autoFilter ref="A4:Z12"/>
  <conditionalFormatting sqref="P5:P12">
    <cfRule type="expression" priority="1" dxfId="0">
      <formula>OR(P5="UNDER-PACING",P5="NO DELIVERY")</formula>
    </cfRule>
    <cfRule type="expression" priority="2" dxfId="1">
      <formula>P5="OVER-PACING"</formula>
    </cfRule>
    <cfRule type="expression" priority="3" dxfId="2">
      <formula>P5="ON PACE"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28" customWidth="1" min="4" max="4"/>
    <col width="11" customWidth="1" min="5" max="5"/>
    <col width="21" customWidth="1" min="6" max="6"/>
    <col width="16" customWidth="1" min="7" max="7"/>
    <col width="13" customWidth="1" min="8" max="8"/>
    <col width="16" customWidth="1" min="9" max="9"/>
    <col width="12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1" t="inlineStr">
        <is>
          <t>Placement Detail</t>
        </is>
      </c>
    </row>
    <row r="2">
      <c r="A2" s="2" t="inlineStr">
        <is>
          <t>Inventory view. New inventory = placement launched this month (Product Mgmt catalog).</t>
        </is>
      </c>
    </row>
    <row r="3"/>
    <row r="4" ht="30" customHeight="1">
      <c r="A4" s="9" t="inlineStr">
        <is>
          <t>Title Id</t>
        </is>
      </c>
      <c r="B4" s="9" t="inlineStr">
        <is>
          <t>Title Name</t>
        </is>
      </c>
      <c r="C4" s="9" t="inlineStr">
        <is>
          <t>Placement Id</t>
        </is>
      </c>
      <c r="D4" s="9" t="inlineStr">
        <is>
          <t>Placement Name</t>
        </is>
      </c>
      <c r="E4" s="9" t="inlineStr">
        <is>
          <t>Ad Format</t>
        </is>
      </c>
      <c r="F4" s="9" t="inlineStr">
        <is>
          <t>Launch Date</t>
        </is>
      </c>
      <c r="G4" s="9" t="inlineStr">
        <is>
          <t>Is New Inventory</t>
        </is>
      </c>
      <c r="H4" s="9" t="inlineStr">
        <is>
          <t>Ad Requests</t>
        </is>
      </c>
      <c r="I4" s="9" t="inlineStr">
        <is>
          <t>Ad Server Filled</t>
        </is>
      </c>
      <c r="J4" s="9" t="inlineStr">
        <is>
          <t>Fill Rate</t>
        </is>
      </c>
      <c r="K4" s="9" t="inlineStr">
        <is>
          <t>Telemetry Impressions</t>
        </is>
      </c>
      <c r="L4" s="9" t="inlineStr">
        <is>
          <t>Paid Impressions</t>
        </is>
      </c>
      <c r="M4" s="9" t="inlineStr">
        <is>
          <t>House Impressions</t>
        </is>
      </c>
      <c r="N4" s="9" t="inlineStr">
        <is>
          <t>Sell Through Rate</t>
        </is>
      </c>
      <c r="O4" s="9" t="inlineStr">
        <is>
          <t>Viewability Rate</t>
        </is>
      </c>
      <c r="P4" s="9" t="inlineStr">
        <is>
          <t>Paid Unique Reach</t>
        </is>
      </c>
      <c r="Q4" s="9" t="inlineStr">
        <is>
          <t>Video Completion Rate</t>
        </is>
      </c>
      <c r="R4" s="9" t="inlineStr">
        <is>
          <t>Telemetry Vs Adserver Pct</t>
        </is>
      </c>
    </row>
    <row r="5">
      <c r="A5" s="10" t="inlineStr">
        <is>
          <t>DZL</t>
        </is>
      </c>
      <c r="B5" s="10" t="inlineStr">
        <is>
          <t>Dropzone Legends</t>
        </is>
      </c>
      <c r="C5" s="10" t="inlineStr">
        <is>
          <t>DZL-LOADING-VID</t>
        </is>
      </c>
      <c r="D5" s="10" t="inlineStr">
        <is>
          <t>Loading screen video</t>
        </is>
      </c>
      <c r="E5" s="10" t="inlineStr">
        <is>
          <t>video</t>
        </is>
      </c>
      <c r="F5" s="16" t="n">
        <v>45853</v>
      </c>
      <c r="G5" s="10" t="b">
        <v>0</v>
      </c>
      <c r="H5" s="11" t="n">
        <v>59292</v>
      </c>
      <c r="I5" s="11" t="n">
        <v>42762</v>
      </c>
      <c r="J5" s="12" t="n">
        <v>0.721210281319571</v>
      </c>
      <c r="K5" s="11" t="n">
        <v>42507</v>
      </c>
      <c r="L5" s="11" t="n">
        <v>5105</v>
      </c>
      <c r="M5" s="11" t="n">
        <v>37364</v>
      </c>
      <c r="N5" s="12" t="n">
        <v>0.08609930513391351</v>
      </c>
      <c r="O5" s="12" t="n">
        <v>0.9426052889324192</v>
      </c>
      <c r="P5" s="11" t="n">
        <v>4552</v>
      </c>
      <c r="Q5" s="12" t="n">
        <v>0.4889324191968658</v>
      </c>
      <c r="R5" s="15" t="n">
        <v>-0.005963238389224077</v>
      </c>
    </row>
    <row r="6">
      <c r="A6" s="10" t="inlineStr">
        <is>
          <t>DZL</t>
        </is>
      </c>
      <c r="B6" s="10" t="inlineStr">
        <is>
          <t>Dropzone Legends</t>
        </is>
      </c>
      <c r="C6" s="10" t="inlineStr">
        <is>
          <t>DZL-LOBBY-BILL</t>
        </is>
      </c>
      <c r="D6" s="10" t="inlineStr">
        <is>
          <t>Lobby billboard</t>
        </is>
      </c>
      <c r="E6" s="10" t="inlineStr">
        <is>
          <t>display</t>
        </is>
      </c>
      <c r="F6" s="16" t="n">
        <v>45853</v>
      </c>
      <c r="G6" s="10" t="b">
        <v>0</v>
      </c>
      <c r="H6" s="11" t="n">
        <v>109892</v>
      </c>
      <c r="I6" s="11" t="n">
        <v>88134</v>
      </c>
      <c r="J6" s="12" t="n">
        <v>0.8020056055035854</v>
      </c>
      <c r="K6" s="11" t="n">
        <v>87764</v>
      </c>
      <c r="L6" s="11" t="n">
        <v>32296</v>
      </c>
      <c r="M6" s="11" t="n">
        <v>55342</v>
      </c>
      <c r="N6" s="12" t="n">
        <v>0.293888545117024</v>
      </c>
      <c r="O6" s="12" t="n">
        <v>0.7041429279167699</v>
      </c>
      <c r="P6" s="11" t="n">
        <v>20270</v>
      </c>
      <c r="Q6" s="12" t="n"/>
      <c r="R6" s="15" t="n">
        <v>-0.004198152812762384</v>
      </c>
    </row>
    <row r="7">
      <c r="A7" s="10" t="inlineStr">
        <is>
          <t>GRD</t>
        </is>
      </c>
      <c r="B7" s="10" t="inlineStr">
        <is>
          <t>Gridiron 27</t>
        </is>
      </c>
      <c r="C7" s="10" t="inlineStr">
        <is>
          <t>GRD-BROADCAST</t>
        </is>
      </c>
      <c r="D7" s="10" t="inlineStr">
        <is>
          <t>Broadcast bumper video</t>
        </is>
      </c>
      <c r="E7" s="10" t="inlineStr">
        <is>
          <t>video</t>
        </is>
      </c>
      <c r="F7" s="16" t="n">
        <v>45853</v>
      </c>
      <c r="G7" s="10" t="b">
        <v>0</v>
      </c>
      <c r="H7" s="11" t="n">
        <v>47928</v>
      </c>
      <c r="I7" s="11" t="n">
        <v>41275</v>
      </c>
      <c r="J7" s="12" t="n">
        <v>0.8611876147554666</v>
      </c>
      <c r="K7" s="11" t="n">
        <v>41003</v>
      </c>
      <c r="L7" s="11" t="n">
        <v>22118</v>
      </c>
      <c r="M7" s="11" t="n">
        <v>18885</v>
      </c>
      <c r="N7" s="12" t="n">
        <v>0.4614838925054248</v>
      </c>
      <c r="O7" s="12" t="n">
        <v>0.9489556017723122</v>
      </c>
      <c r="P7" s="11" t="n">
        <v>13638</v>
      </c>
      <c r="Q7" s="12" t="n">
        <v>0.5511800343611538</v>
      </c>
      <c r="R7" s="15" t="n">
        <v>-0.006589945487583283</v>
      </c>
    </row>
    <row r="8">
      <c r="A8" s="10" t="inlineStr">
        <is>
          <t>GRD</t>
        </is>
      </c>
      <c r="B8" s="10" t="inlineStr">
        <is>
          <t>Gridiron 27</t>
        </is>
      </c>
      <c r="C8" s="10" t="inlineStr">
        <is>
          <t>GRD-ENDZONE</t>
        </is>
      </c>
      <c r="D8" s="10" t="inlineStr">
        <is>
          <t>End-zone branding</t>
        </is>
      </c>
      <c r="E8" s="10" t="inlineStr">
        <is>
          <t>display</t>
        </is>
      </c>
      <c r="F8" s="16" t="n">
        <v>45853</v>
      </c>
      <c r="G8" s="10" t="b">
        <v>0</v>
      </c>
      <c r="H8" s="11" t="n">
        <v>95047</v>
      </c>
      <c r="I8" s="11" t="n">
        <v>73854</v>
      </c>
      <c r="J8" s="12" t="n">
        <v>0.7770261028754195</v>
      </c>
      <c r="K8" s="11" t="n">
        <v>73391</v>
      </c>
      <c r="L8" s="11" t="n">
        <v>23857</v>
      </c>
      <c r="M8" s="11" t="n">
        <v>49534</v>
      </c>
      <c r="N8" s="12" t="n">
        <v>0.2510021357854535</v>
      </c>
      <c r="O8" s="12" t="n">
        <v>0.6016682734627153</v>
      </c>
      <c r="P8" s="11" t="n">
        <v>14135</v>
      </c>
      <c r="Q8" s="12" t="n"/>
      <c r="R8" s="15" t="n">
        <v>-0.006269125572074634</v>
      </c>
    </row>
    <row r="9">
      <c r="A9" s="10" t="inlineStr">
        <is>
          <t>GRD</t>
        </is>
      </c>
      <c r="B9" s="10" t="inlineStr">
        <is>
          <t>Gridiron 27</t>
        </is>
      </c>
      <c r="C9" s="10" t="inlineStr">
        <is>
          <t>GRD-MENU-BANNER</t>
        </is>
      </c>
      <c r="D9" s="10" t="inlineStr">
        <is>
          <t>Main menu banner</t>
        </is>
      </c>
      <c r="E9" s="10" t="inlineStr">
        <is>
          <t>display</t>
        </is>
      </c>
      <c r="F9" s="16" t="n">
        <v>45853</v>
      </c>
      <c r="G9" s="10" t="b">
        <v>0</v>
      </c>
      <c r="H9" s="11" t="n">
        <v>56921</v>
      </c>
      <c r="I9" s="11" t="n">
        <v>40791</v>
      </c>
      <c r="J9" s="12" t="n">
        <v>0.7166247957695754</v>
      </c>
      <c r="K9" s="11" t="n">
        <v>40537</v>
      </c>
      <c r="L9" s="11" t="n">
        <v>0</v>
      </c>
      <c r="M9" s="11" t="n">
        <v>40537</v>
      </c>
      <c r="N9" s="12" t="n">
        <v>0</v>
      </c>
      <c r="O9" s="12" t="n"/>
      <c r="P9" s="11" t="n">
        <v>0</v>
      </c>
      <c r="Q9" s="12" t="n"/>
      <c r="R9" s="15" t="n">
        <v>-0.006226863768968645</v>
      </c>
    </row>
    <row r="10">
      <c r="A10" s="10" t="inlineStr">
        <is>
          <t>GRD</t>
        </is>
      </c>
      <c r="B10" s="10" t="inlineStr">
        <is>
          <t>Gridiron 27</t>
        </is>
      </c>
      <c r="C10" s="10" t="inlineStr">
        <is>
          <t>GRD-SKILLS-CHAL</t>
        </is>
      </c>
      <c r="D10" s="10" t="inlineStr">
        <is>
          <t>Sponsored skills challenge</t>
        </is>
      </c>
      <c r="E10" s="10" t="inlineStr">
        <is>
          <t>display</t>
        </is>
      </c>
      <c r="F10" s="16" t="n">
        <v>46275</v>
      </c>
      <c r="G10" s="10" t="b">
        <v>0</v>
      </c>
      <c r="H10" s="11" t="n">
        <v>0</v>
      </c>
      <c r="I10" s="11" t="n">
        <v>0</v>
      </c>
      <c r="J10" s="12" t="n"/>
      <c r="K10" s="11" t="n">
        <v>0</v>
      </c>
      <c r="L10" s="11" t="n">
        <v>0</v>
      </c>
      <c r="M10" s="11" t="n">
        <v>0</v>
      </c>
      <c r="N10" s="12" t="n"/>
      <c r="O10" s="12" t="n"/>
      <c r="P10" s="11" t="n">
        <v>0</v>
      </c>
      <c r="Q10" s="12" t="n"/>
      <c r="R10" s="15" t="n"/>
    </row>
    <row r="11">
      <c r="A11" s="10" t="inlineStr">
        <is>
          <t>HTL</t>
        </is>
      </c>
      <c r="B11" s="10" t="inlineStr">
        <is>
          <t>Hometown Life</t>
        </is>
      </c>
      <c r="C11" s="10" t="inlineStr">
        <is>
          <t>HTL-INTERSTITIAL</t>
        </is>
      </c>
      <c r="D11" s="10" t="inlineStr">
        <is>
          <t>Interstitial</t>
        </is>
      </c>
      <c r="E11" s="10" t="inlineStr">
        <is>
          <t>display</t>
        </is>
      </c>
      <c r="F11" s="16" t="n">
        <v>45853</v>
      </c>
      <c r="G11" s="10" t="b">
        <v>0</v>
      </c>
      <c r="H11" s="11" t="n">
        <v>58095</v>
      </c>
      <c r="I11" s="11" t="n">
        <v>46795</v>
      </c>
      <c r="J11" s="12" t="n">
        <v>0.8054910061106808</v>
      </c>
      <c r="K11" s="11" t="n">
        <v>45373</v>
      </c>
      <c r="L11" s="11" t="n">
        <v>16997</v>
      </c>
      <c r="M11" s="11" t="n">
        <v>28376</v>
      </c>
      <c r="N11" s="12" t="n">
        <v>0.292572510543076</v>
      </c>
      <c r="O11" s="12" t="n">
        <v>0.9971171383185268</v>
      </c>
      <c r="P11" s="11" t="n">
        <v>10393</v>
      </c>
      <c r="Q11" s="12" t="n"/>
      <c r="R11" s="15" t="n">
        <v>-0.03038786195106315</v>
      </c>
    </row>
    <row r="12">
      <c r="A12" s="10" t="inlineStr">
        <is>
          <t>HTL</t>
        </is>
      </c>
      <c r="B12" s="10" t="inlineStr">
        <is>
          <t>Hometown Life</t>
        </is>
      </c>
      <c r="C12" s="10" t="inlineStr">
        <is>
          <t>HTL-REWARDED-VID</t>
        </is>
      </c>
      <c r="D12" s="10" t="inlineStr">
        <is>
          <t>Rewarded video</t>
        </is>
      </c>
      <c r="E12" s="10" t="inlineStr">
        <is>
          <t>video</t>
        </is>
      </c>
      <c r="F12" s="16" t="n">
        <v>45853</v>
      </c>
      <c r="G12" s="10" t="b">
        <v>0</v>
      </c>
      <c r="H12" s="11" t="n">
        <v>69153</v>
      </c>
      <c r="I12" s="11" t="n">
        <v>56999</v>
      </c>
      <c r="J12" s="12" t="n">
        <v>0.8242447905369253</v>
      </c>
      <c r="K12" s="11" t="n">
        <v>55231</v>
      </c>
      <c r="L12" s="11" t="n">
        <v>26545</v>
      </c>
      <c r="M12" s="11" t="n">
        <v>28686</v>
      </c>
      <c r="N12" s="12" t="n">
        <v>0.3838589793645973</v>
      </c>
      <c r="O12" s="12" t="n">
        <v>0.9919382181201732</v>
      </c>
      <c r="P12" s="11" t="n">
        <v>14022</v>
      </c>
      <c r="Q12" s="12" t="n">
        <v>0.9295912601243171</v>
      </c>
      <c r="R12" s="15" t="n">
        <v>-0.03101808803663222</v>
      </c>
    </row>
    <row r="13">
      <c r="A13" s="10" t="inlineStr">
        <is>
          <t>PFC</t>
        </is>
      </c>
      <c r="B13" s="10" t="inlineStr">
        <is>
          <t>Pitch FC 27</t>
        </is>
      </c>
      <c r="C13" s="10" t="inlineStr">
        <is>
          <t>PFC-HALFTIME-VID</t>
        </is>
      </c>
      <c r="D13" s="10" t="inlineStr">
        <is>
          <t>Halftime video</t>
        </is>
      </c>
      <c r="E13" s="10" t="inlineStr">
        <is>
          <t>video</t>
        </is>
      </c>
      <c r="F13" s="16" t="n">
        <v>45853</v>
      </c>
      <c r="G13" s="10" t="b">
        <v>0</v>
      </c>
      <c r="H13" s="11" t="n">
        <v>30269</v>
      </c>
      <c r="I13" s="11" t="n">
        <v>23055</v>
      </c>
      <c r="J13" s="12" t="n">
        <v>0.7616703558095742</v>
      </c>
      <c r="K13" s="11" t="n">
        <v>22903</v>
      </c>
      <c r="L13" s="11" t="n">
        <v>4575</v>
      </c>
      <c r="M13" s="11" t="n">
        <v>18328</v>
      </c>
      <c r="N13" s="12" t="n">
        <v>0.1511447355380092</v>
      </c>
      <c r="O13" s="12" t="n">
        <v>0.9527868852459016</v>
      </c>
      <c r="P13" s="11" t="n">
        <v>3998</v>
      </c>
      <c r="Q13" s="12" t="n">
        <v>0.6244808743169399</v>
      </c>
      <c r="R13" s="15" t="n">
        <v>-0.00659292995011928</v>
      </c>
    </row>
    <row r="14">
      <c r="A14" s="10" t="inlineStr">
        <is>
          <t>PFC</t>
        </is>
      </c>
      <c r="B14" s="10" t="inlineStr">
        <is>
          <t>Pitch FC 27</t>
        </is>
      </c>
      <c r="C14" s="10" t="inlineStr">
        <is>
          <t>PFC-KIT-SPONSOR</t>
        </is>
      </c>
      <c r="D14" s="10" t="inlineStr">
        <is>
          <t>Kit sponsor overlay</t>
        </is>
      </c>
      <c r="E14" s="10" t="inlineStr">
        <is>
          <t>display</t>
        </is>
      </c>
      <c r="F14" s="16" t="n">
        <v>45853</v>
      </c>
      <c r="G14" s="10" t="b">
        <v>0</v>
      </c>
      <c r="H14" s="11" t="n">
        <v>47073</v>
      </c>
      <c r="I14" s="11" t="n">
        <v>36520</v>
      </c>
      <c r="J14" s="12" t="n">
        <v>0.7758162853440401</v>
      </c>
      <c r="K14" s="11" t="n">
        <v>36268</v>
      </c>
      <c r="L14" s="11" t="n">
        <v>12127</v>
      </c>
      <c r="M14" s="11" t="n">
        <v>24141</v>
      </c>
      <c r="N14" s="12" t="n">
        <v>0.2576211416310836</v>
      </c>
      <c r="O14" s="12" t="n">
        <v>0.2978477776861548</v>
      </c>
      <c r="P14" s="11" t="n">
        <v>9082</v>
      </c>
      <c r="Q14" s="12" t="n"/>
      <c r="R14" s="15" t="n">
        <v>-0.006900328587075575</v>
      </c>
    </row>
    <row r="15">
      <c r="A15" s="10" t="inlineStr">
        <is>
          <t>PFC</t>
        </is>
      </c>
      <c r="B15" s="10" t="inlineStr">
        <is>
          <t>Pitch FC 27</t>
        </is>
      </c>
      <c r="C15" s="10" t="inlineStr">
        <is>
          <t>PFC-LED-STADIUM</t>
        </is>
      </c>
      <c r="D15" s="10" t="inlineStr">
        <is>
          <t>Stadium LED boards</t>
        </is>
      </c>
      <c r="E15" s="10" t="inlineStr">
        <is>
          <t>display</t>
        </is>
      </c>
      <c r="F15" s="16" t="n">
        <v>45853</v>
      </c>
      <c r="G15" s="10" t="b">
        <v>0</v>
      </c>
      <c r="H15" s="11" t="n">
        <v>86830</v>
      </c>
      <c r="I15" s="11" t="n">
        <v>67545</v>
      </c>
      <c r="J15" s="12" t="n">
        <v>0.7778993435448578</v>
      </c>
      <c r="K15" s="11" t="n">
        <v>67165</v>
      </c>
      <c r="L15" s="11" t="n">
        <v>21796</v>
      </c>
      <c r="M15" s="11" t="n">
        <v>45369</v>
      </c>
      <c r="N15" s="12" t="n">
        <v>0.2510192329839917</v>
      </c>
      <c r="O15" s="12" t="n">
        <v>0.6837493118003304</v>
      </c>
      <c r="P15" s="11" t="n">
        <v>14079</v>
      </c>
      <c r="Q15" s="12" t="n"/>
      <c r="R15" s="15" t="n">
        <v>-0.005625879043600563</v>
      </c>
    </row>
  </sheetData>
  <conditionalFormatting sqref="O5:O15">
    <cfRule type="cellIs" priority="1" operator="lessThan" dxfId="0">
      <formula>0.7</formula>
    </cfRule>
  </conditionalFormatting>
  <conditionalFormatting sqref="A5:R15">
    <cfRule type="expression" priority="2" dxfId="3">
      <formula>$G5=TRUE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9" customWidth="1" min="3" max="3"/>
    <col width="13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Frequency Distribution</t>
        </is>
      </c>
    </row>
    <row r="2">
      <c r="A2" s="2" t="inlineStr">
        <is>
          <t>Paid in-flight impressions per player in the month, by title.</t>
        </is>
      </c>
    </row>
    <row r="3"/>
    <row r="4" ht="30" customHeight="1">
      <c r="A4" s="9" t="inlineStr">
        <is>
          <t>Title Id</t>
        </is>
      </c>
      <c r="B4" s="9" t="inlineStr">
        <is>
          <t>Frequency Bucket</t>
        </is>
      </c>
      <c r="C4" s="9" t="inlineStr">
        <is>
          <t>Players</t>
        </is>
      </c>
      <c r="D4" s="9" t="inlineStr">
        <is>
          <t>Impressions</t>
        </is>
      </c>
      <c r="E4" s="9" t="inlineStr">
        <is>
          <t>Share Of Reach</t>
        </is>
      </c>
      <c r="F4" s="9" t="inlineStr">
        <is>
          <t>Share Of Impressions</t>
        </is>
      </c>
      <c r="G4" s="9" t="inlineStr">
        <is>
          <t>Cumulative Share Of Reach</t>
        </is>
      </c>
    </row>
    <row r="5">
      <c r="A5" s="10" t="inlineStr">
        <is>
          <t>DZL</t>
        </is>
      </c>
      <c r="B5" s="10" t="inlineStr">
        <is>
          <t>01</t>
        </is>
      </c>
      <c r="C5" s="11" t="n">
        <v>14834</v>
      </c>
      <c r="D5" s="11" t="n">
        <v>14834</v>
      </c>
      <c r="E5" s="12" t="n">
        <v>0.6627647216513269</v>
      </c>
      <c r="F5" s="12" t="n">
        <v>0.3975131977382962</v>
      </c>
      <c r="G5" s="12" t="n">
        <v>0.6627647216513269</v>
      </c>
    </row>
    <row r="6">
      <c r="A6" s="10" t="inlineStr">
        <is>
          <t>DZL</t>
        </is>
      </c>
      <c r="B6" s="10" t="inlineStr">
        <is>
          <t>02</t>
        </is>
      </c>
      <c r="C6" s="11" t="n">
        <v>4355</v>
      </c>
      <c r="D6" s="11" t="n">
        <v>8710</v>
      </c>
      <c r="E6" s="12" t="n">
        <v>0.1945759985702797</v>
      </c>
      <c r="F6" s="12" t="n">
        <v>0.2334056864163786</v>
      </c>
      <c r="G6" s="12" t="n">
        <v>0.8573407202216067</v>
      </c>
    </row>
    <row r="7">
      <c r="A7" s="10" t="inlineStr">
        <is>
          <t>DZL</t>
        </is>
      </c>
      <c r="B7" s="10" t="inlineStr">
        <is>
          <t>03</t>
        </is>
      </c>
      <c r="C7" s="11" t="n">
        <v>1620</v>
      </c>
      <c r="D7" s="11" t="n">
        <v>4860</v>
      </c>
      <c r="E7" s="12" t="n">
        <v>0.07237959074256099</v>
      </c>
      <c r="F7" s="12" t="n">
        <v>0.1302355494814696</v>
      </c>
      <c r="G7" s="12" t="n">
        <v>0.9297203109641676</v>
      </c>
    </row>
    <row r="8">
      <c r="A8" s="10" t="inlineStr">
        <is>
          <t>DZL</t>
        </is>
      </c>
      <c r="B8" s="10" t="inlineStr">
        <is>
          <t>04-05</t>
        </is>
      </c>
      <c r="C8" s="11" t="n">
        <v>1055</v>
      </c>
      <c r="D8" s="11" t="n">
        <v>4586</v>
      </c>
      <c r="E8" s="12" t="n">
        <v>0.0471360915020999</v>
      </c>
      <c r="F8" s="12" t="n">
        <v>0.1228930514242838</v>
      </c>
      <c r="G8" s="12" t="n">
        <v>0.9768564024662675</v>
      </c>
    </row>
    <row r="9">
      <c r="A9" s="10" t="inlineStr">
        <is>
          <t>DZL</t>
        </is>
      </c>
      <c r="B9" s="10" t="inlineStr">
        <is>
          <t>06-10</t>
        </is>
      </c>
      <c r="C9" s="11" t="n">
        <v>439</v>
      </c>
      <c r="D9" s="11" t="n">
        <v>3127</v>
      </c>
      <c r="E9" s="12" t="n">
        <v>0.01961397551603968</v>
      </c>
      <c r="F9" s="12" t="n">
        <v>0.08379558914167806</v>
      </c>
      <c r="G9" s="12" t="n">
        <v>0.9964703779823072</v>
      </c>
    </row>
    <row r="10">
      <c r="A10" s="10" t="inlineStr">
        <is>
          <t>DZL</t>
        </is>
      </c>
      <c r="B10" s="10" t="inlineStr">
        <is>
          <t>11-20</t>
        </is>
      </c>
      <c r="C10" s="11" t="n">
        <v>70</v>
      </c>
      <c r="D10" s="11" t="n">
        <v>901</v>
      </c>
      <c r="E10" s="12" t="n">
        <v>0.003127513180234117</v>
      </c>
      <c r="F10" s="12" t="n">
        <v>0.0241444917865852</v>
      </c>
      <c r="G10" s="12" t="n">
        <v>0.9995978911625413</v>
      </c>
    </row>
    <row r="11">
      <c r="A11" s="10" t="inlineStr">
        <is>
          <t>DZL</t>
        </is>
      </c>
      <c r="B11" s="10" t="inlineStr">
        <is>
          <t>21+</t>
        </is>
      </c>
      <c r="C11" s="11" t="n">
        <v>9</v>
      </c>
      <c r="D11" s="11" t="n">
        <v>299</v>
      </c>
      <c r="E11" s="12" t="n">
        <v>0.0004021088374586722</v>
      </c>
      <c r="F11" s="12" t="n">
        <v>0.008012434011308519</v>
      </c>
      <c r="G11" s="12" t="n">
        <v>1</v>
      </c>
    </row>
    <row r="12">
      <c r="A12" s="10" t="inlineStr">
        <is>
          <t>GRD</t>
        </is>
      </c>
      <c r="B12" s="10" t="inlineStr">
        <is>
          <t>01</t>
        </is>
      </c>
      <c r="C12" s="11" t="n">
        <v>11435</v>
      </c>
      <c r="D12" s="11" t="n">
        <v>11435</v>
      </c>
      <c r="E12" s="12" t="n">
        <v>0.5417633960297532</v>
      </c>
      <c r="F12" s="12" t="n">
        <v>0.2492208443214262</v>
      </c>
      <c r="G12" s="12" t="n">
        <v>0.5417633960297532</v>
      </c>
    </row>
    <row r="13">
      <c r="A13" s="10" t="inlineStr">
        <is>
          <t>GRD</t>
        </is>
      </c>
      <c r="B13" s="10" t="inlineStr">
        <is>
          <t>02</t>
        </is>
      </c>
      <c r="C13" s="11" t="n">
        <v>4580</v>
      </c>
      <c r="D13" s="11" t="n">
        <v>9160</v>
      </c>
      <c r="E13" s="12" t="n">
        <v>0.2169896242952575</v>
      </c>
      <c r="F13" s="12" t="n">
        <v>0.1996382102303685</v>
      </c>
      <c r="G13" s="12" t="n">
        <v>0.7587530203250107</v>
      </c>
    </row>
    <row r="14">
      <c r="A14" s="10" t="inlineStr">
        <is>
          <t>GRD</t>
        </is>
      </c>
      <c r="B14" s="10" t="inlineStr">
        <is>
          <t>03</t>
        </is>
      </c>
      <c r="C14" s="11" t="n">
        <v>2127</v>
      </c>
      <c r="D14" s="11" t="n">
        <v>6381</v>
      </c>
      <c r="E14" s="12" t="n">
        <v>0.1007722556497844</v>
      </c>
      <c r="F14" s="12" t="n">
        <v>0.1390711156637535</v>
      </c>
      <c r="G14" s="12" t="n">
        <v>0.8595252759747951</v>
      </c>
    </row>
    <row r="15">
      <c r="A15" s="10" t="inlineStr">
        <is>
          <t>GRD</t>
        </is>
      </c>
      <c r="B15" s="10" t="inlineStr">
        <is>
          <t>04-05</t>
        </is>
      </c>
      <c r="C15" s="11" t="n">
        <v>1707</v>
      </c>
      <c r="D15" s="11" t="n">
        <v>7452</v>
      </c>
      <c r="E15" s="12" t="n">
        <v>0.08087364381484816</v>
      </c>
      <c r="F15" s="12" t="n">
        <v>0.1624130941743129</v>
      </c>
      <c r="G15" s="12" t="n">
        <v>0.9403989197896433</v>
      </c>
    </row>
    <row r="16">
      <c r="A16" s="10" t="inlineStr">
        <is>
          <t>GRD</t>
        </is>
      </c>
      <c r="B16" s="10" t="inlineStr">
        <is>
          <t>06-10</t>
        </is>
      </c>
      <c r="C16" s="11" t="n">
        <v>1001</v>
      </c>
      <c r="D16" s="11" t="n">
        <v>7156</v>
      </c>
      <c r="E16" s="12" t="n">
        <v>0.0474250248732648</v>
      </c>
      <c r="F16" s="12" t="n">
        <v>0.1559619031013665</v>
      </c>
      <c r="G16" s="12" t="n">
        <v>0.987823944662908</v>
      </c>
    </row>
    <row r="17">
      <c r="A17" s="10" t="inlineStr">
        <is>
          <t>GRD</t>
        </is>
      </c>
      <c r="B17" s="10" t="inlineStr">
        <is>
          <t>11-20</t>
        </is>
      </c>
      <c r="C17" s="11" t="n">
        <v>208</v>
      </c>
      <c r="D17" s="11" t="n">
        <v>2852</v>
      </c>
      <c r="E17" s="12" t="n">
        <v>0.009854550623016061</v>
      </c>
      <c r="F17" s="12" t="n">
        <v>0.06215809777041606</v>
      </c>
      <c r="G17" s="12" t="n">
        <v>0.9976784952859241</v>
      </c>
    </row>
    <row r="18">
      <c r="A18" s="10" t="inlineStr">
        <is>
          <t>GRD</t>
        </is>
      </c>
      <c r="B18" s="10" t="inlineStr">
        <is>
          <t>21+</t>
        </is>
      </c>
      <c r="C18" s="11" t="n">
        <v>49</v>
      </c>
      <c r="D18" s="11" t="n">
        <v>1447</v>
      </c>
      <c r="E18" s="12" t="n">
        <v>0.002321504714075899</v>
      </c>
      <c r="F18" s="12" t="n">
        <v>0.03153673473835625</v>
      </c>
      <c r="G18" s="12" t="n">
        <v>1</v>
      </c>
    </row>
    <row r="19">
      <c r="A19" s="10" t="inlineStr">
        <is>
          <t>HTL</t>
        </is>
      </c>
      <c r="B19" s="10" t="inlineStr">
        <is>
          <t>01</t>
        </is>
      </c>
      <c r="C19" s="11" t="n">
        <v>9360</v>
      </c>
      <c r="D19" s="11" t="n">
        <v>9360</v>
      </c>
      <c r="E19" s="12" t="n">
        <v>0.5099705786204642</v>
      </c>
      <c r="F19" s="12" t="n">
        <v>0.2154249810122212</v>
      </c>
      <c r="G19" s="12" t="n">
        <v>0.5099705786204642</v>
      </c>
    </row>
    <row r="20">
      <c r="A20" s="10" t="inlineStr">
        <is>
          <t>HTL</t>
        </is>
      </c>
      <c r="B20" s="10" t="inlineStr">
        <is>
          <t>02</t>
        </is>
      </c>
      <c r="C20" s="11" t="n">
        <v>3961</v>
      </c>
      <c r="D20" s="11" t="n">
        <v>7922</v>
      </c>
      <c r="E20" s="12" t="n">
        <v>0.2158112672986815</v>
      </c>
      <c r="F20" s="12" t="n">
        <v>0.182328707219959</v>
      </c>
      <c r="G20" s="12" t="n">
        <v>0.7257818459191457</v>
      </c>
    </row>
    <row r="21">
      <c r="A21" s="10" t="inlineStr">
        <is>
          <t>HTL</t>
        </is>
      </c>
      <c r="B21" s="10" t="inlineStr">
        <is>
          <t>03</t>
        </is>
      </c>
      <c r="C21" s="11" t="n">
        <v>1990</v>
      </c>
      <c r="D21" s="11" t="n">
        <v>5970</v>
      </c>
      <c r="E21" s="12" t="n">
        <v>0.108423231993026</v>
      </c>
      <c r="F21" s="12" t="n">
        <v>0.1374024718635642</v>
      </c>
      <c r="G21" s="12" t="n">
        <v>0.8342050779121717</v>
      </c>
    </row>
    <row r="22">
      <c r="A22" s="10" t="inlineStr">
        <is>
          <t>HTL</t>
        </is>
      </c>
      <c r="B22" s="10" t="inlineStr">
        <is>
          <t>04-05</t>
        </is>
      </c>
      <c r="C22" s="11" t="n">
        <v>1711</v>
      </c>
      <c r="D22" s="11" t="n">
        <v>7469</v>
      </c>
      <c r="E22" s="12" t="n">
        <v>0.09322218589953143</v>
      </c>
      <c r="F22" s="12" t="n">
        <v>0.1719026905107137</v>
      </c>
      <c r="G22" s="12" t="n">
        <v>0.9274272638117032</v>
      </c>
    </row>
    <row r="23">
      <c r="A23" s="10" t="inlineStr">
        <is>
          <t>HTL</t>
        </is>
      </c>
      <c r="B23" s="10" t="inlineStr">
        <is>
          <t>06-10</t>
        </is>
      </c>
      <c r="C23" s="11" t="n">
        <v>1006</v>
      </c>
      <c r="D23" s="11" t="n">
        <v>7422</v>
      </c>
      <c r="E23" s="12" t="n">
        <v>0.05481094039446442</v>
      </c>
      <c r="F23" s="12" t="n">
        <v>0.1708209625077677</v>
      </c>
      <c r="G23" s="12" t="n">
        <v>0.9822382042061676</v>
      </c>
    </row>
    <row r="24">
      <c r="A24" s="10" t="inlineStr">
        <is>
          <t>HTL</t>
        </is>
      </c>
      <c r="B24" s="10" t="inlineStr">
        <is>
          <t>11-20</t>
        </is>
      </c>
      <c r="C24" s="11" t="n">
        <v>273</v>
      </c>
      <c r="D24" s="11" t="n">
        <v>3779</v>
      </c>
      <c r="E24" s="12" t="n">
        <v>0.01487414187643021</v>
      </c>
      <c r="F24" s="12" t="n">
        <v>0.08697553453474188</v>
      </c>
      <c r="G24" s="12" t="n">
        <v>0.9971123460825978</v>
      </c>
    </row>
    <row r="25">
      <c r="A25" s="10" t="inlineStr">
        <is>
          <t>HTL</t>
        </is>
      </c>
      <c r="B25" s="10" t="inlineStr">
        <is>
          <t>21+</t>
        </is>
      </c>
      <c r="C25" s="11" t="n">
        <v>53</v>
      </c>
      <c r="D25" s="11" t="n">
        <v>1527</v>
      </c>
      <c r="E25" s="12" t="n">
        <v>0.002887653917402201</v>
      </c>
      <c r="F25" s="12" t="n">
        <v>0.03514465235103224</v>
      </c>
      <c r="G25" s="12" t="n">
        <v>1</v>
      </c>
    </row>
    <row r="26">
      <c r="A26" s="10" t="inlineStr">
        <is>
          <t>PFC</t>
        </is>
      </c>
      <c r="B26" s="10" t="inlineStr">
        <is>
          <t>01</t>
        </is>
      </c>
      <c r="C26" s="11" t="n">
        <v>12278</v>
      </c>
      <c r="D26" s="11" t="n">
        <v>12278</v>
      </c>
      <c r="E26" s="12" t="n">
        <v>0.6012143766526296</v>
      </c>
      <c r="F26" s="12" t="n">
        <v>0.319506609763714</v>
      </c>
      <c r="G26" s="12" t="n">
        <v>0.6012143766526296</v>
      </c>
    </row>
    <row r="27">
      <c r="A27" s="10" t="inlineStr">
        <is>
          <t>PFC</t>
        </is>
      </c>
      <c r="B27" s="10" t="inlineStr">
        <is>
          <t>02</t>
        </is>
      </c>
      <c r="C27" s="11" t="n">
        <v>4377</v>
      </c>
      <c r="D27" s="11" t="n">
        <v>8754</v>
      </c>
      <c r="E27" s="12" t="n">
        <v>0.2143276858290079</v>
      </c>
      <c r="F27" s="12" t="n">
        <v>0.2278026439054856</v>
      </c>
      <c r="G27" s="12" t="n">
        <v>0.8155420624816374</v>
      </c>
    </row>
    <row r="28">
      <c r="A28" s="10" t="inlineStr">
        <is>
          <t>PFC</t>
        </is>
      </c>
      <c r="B28" s="10" t="inlineStr">
        <is>
          <t>03</t>
        </is>
      </c>
      <c r="C28" s="11" t="n">
        <v>1794</v>
      </c>
      <c r="D28" s="11" t="n">
        <v>5382</v>
      </c>
      <c r="E28" s="12" t="n">
        <v>0.08784644011360297</v>
      </c>
      <c r="F28" s="12" t="n">
        <v>0.1400541271989175</v>
      </c>
      <c r="G28" s="12" t="n">
        <v>0.9033885025952404</v>
      </c>
    </row>
    <row r="29">
      <c r="A29" s="10" t="inlineStr">
        <is>
          <t>PFC</t>
        </is>
      </c>
      <c r="B29" s="10" t="inlineStr">
        <is>
          <t>04-05</t>
        </is>
      </c>
      <c r="C29" s="11" t="n">
        <v>1232</v>
      </c>
      <c r="D29" s="11" t="n">
        <v>5362</v>
      </c>
      <c r="E29" s="12" t="n">
        <v>0.06032709822740182</v>
      </c>
      <c r="F29" s="12" t="n">
        <v>0.1395336733631727</v>
      </c>
      <c r="G29" s="12" t="n">
        <v>0.9637156008226423</v>
      </c>
    </row>
    <row r="30">
      <c r="A30" s="10" t="inlineStr">
        <is>
          <t>PFC</t>
        </is>
      </c>
      <c r="B30" s="10" t="inlineStr">
        <is>
          <t>06-10</t>
        </is>
      </c>
      <c r="C30" s="11" t="n">
        <v>605</v>
      </c>
      <c r="D30" s="11" t="n">
        <v>4319</v>
      </c>
      <c r="E30" s="12" t="n">
        <v>0.02962491430809911</v>
      </c>
      <c r="F30" s="12" t="n">
        <v>0.112392005829083</v>
      </c>
      <c r="G30" s="12" t="n">
        <v>0.9933405151307414</v>
      </c>
    </row>
    <row r="31">
      <c r="A31" s="10" t="inlineStr">
        <is>
          <t>PFC</t>
        </is>
      </c>
      <c r="B31" s="10" t="inlineStr">
        <is>
          <t>11-20</t>
        </is>
      </c>
      <c r="C31" s="11" t="n">
        <v>116</v>
      </c>
      <c r="D31" s="11" t="n">
        <v>1578</v>
      </c>
      <c r="E31" s="12" t="n">
        <v>0.005680148859073548</v>
      </c>
      <c r="F31" s="12" t="n">
        <v>0.04106380764026231</v>
      </c>
      <c r="G31" s="12" t="n">
        <v>0.9990206639898149</v>
      </c>
    </row>
    <row r="32">
      <c r="A32" s="10" t="inlineStr">
        <is>
          <t>PFC</t>
        </is>
      </c>
      <c r="B32" s="10" t="inlineStr">
        <is>
          <t>21+</t>
        </is>
      </c>
      <c r="C32" s="11" t="n">
        <v>20</v>
      </c>
      <c r="D32" s="11" t="n">
        <v>755</v>
      </c>
      <c r="E32" s="12" t="n">
        <v>0.0009793360101850944</v>
      </c>
      <c r="F32" s="12" t="n">
        <v>0.01964713229936505</v>
      </c>
      <c r="G32" s="1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1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Daily Trend</t>
        </is>
      </c>
    </row>
    <row r="2">
      <c r="A2" s="2" t="inlineStr">
        <is>
          <t>Paid in-flight impressions by title and day.</t>
        </is>
      </c>
    </row>
    <row r="3"/>
    <row r="4" ht="30" customHeight="1">
      <c r="A4" s="9" t="inlineStr">
        <is>
          <t>Title Id</t>
        </is>
      </c>
      <c r="B4" s="9" t="inlineStr">
        <is>
          <t>Event Date</t>
        </is>
      </c>
      <c r="C4" s="9" t="inlineStr">
        <is>
          <t>Paid Impressions</t>
        </is>
      </c>
      <c r="D4" s="9" t="inlineStr">
        <is>
          <t>Viewable Impressions</t>
        </is>
      </c>
      <c r="E4" s="9" t="inlineStr">
        <is>
          <t>Daily Unique Reach</t>
        </is>
      </c>
      <c r="F4" s="9" t="inlineStr">
        <is>
          <t>Paid Impressions 7D Avg</t>
        </is>
      </c>
    </row>
    <row r="5">
      <c r="A5" s="10" t="inlineStr">
        <is>
          <t>DZL</t>
        </is>
      </c>
      <c r="B5" s="16" t="n">
        <v>46235</v>
      </c>
      <c r="C5" s="11" t="n">
        <v>864</v>
      </c>
      <c r="D5" s="11" t="n">
        <v>616</v>
      </c>
      <c r="E5" s="11" t="n">
        <v>837</v>
      </c>
      <c r="F5" s="11" t="n">
        <v>864</v>
      </c>
    </row>
    <row r="6">
      <c r="A6" s="10" t="inlineStr">
        <is>
          <t>DZL</t>
        </is>
      </c>
      <c r="B6" s="16" t="n">
        <v>46236</v>
      </c>
      <c r="C6" s="11" t="n">
        <v>910</v>
      </c>
      <c r="D6" s="11" t="n">
        <v>636</v>
      </c>
      <c r="E6" s="11" t="n">
        <v>888</v>
      </c>
      <c r="F6" s="11" t="n">
        <v>887</v>
      </c>
    </row>
    <row r="7">
      <c r="A7" s="10" t="inlineStr">
        <is>
          <t>DZL</t>
        </is>
      </c>
      <c r="B7" s="16" t="n">
        <v>46237</v>
      </c>
      <c r="C7" s="11" t="n">
        <v>746</v>
      </c>
      <c r="D7" s="11" t="n">
        <v>519</v>
      </c>
      <c r="E7" s="11" t="n">
        <v>731</v>
      </c>
      <c r="F7" s="11" t="n">
        <v>840</v>
      </c>
    </row>
    <row r="8">
      <c r="A8" s="10" t="inlineStr">
        <is>
          <t>DZL</t>
        </is>
      </c>
      <c r="B8" s="16" t="n">
        <v>46238</v>
      </c>
      <c r="C8" s="11" t="n">
        <v>771</v>
      </c>
      <c r="D8" s="11" t="n">
        <v>537</v>
      </c>
      <c r="E8" s="11" t="n">
        <v>754</v>
      </c>
      <c r="F8" s="11" t="n">
        <v>822.75</v>
      </c>
    </row>
    <row r="9">
      <c r="A9" s="10" t="inlineStr">
        <is>
          <t>DZL</t>
        </is>
      </c>
      <c r="B9" s="16" t="n">
        <v>46239</v>
      </c>
      <c r="C9" s="11" t="n">
        <v>1674</v>
      </c>
      <c r="D9" s="11" t="n">
        <v>1156</v>
      </c>
      <c r="E9" s="11" t="n">
        <v>1594</v>
      </c>
      <c r="F9" s="11" t="n">
        <v>993</v>
      </c>
    </row>
    <row r="10">
      <c r="A10" s="10" t="inlineStr">
        <is>
          <t>DZL</t>
        </is>
      </c>
      <c r="B10" s="16" t="n">
        <v>46240</v>
      </c>
      <c r="C10" s="11" t="n">
        <v>1356</v>
      </c>
      <c r="D10" s="11" t="n">
        <v>952</v>
      </c>
      <c r="E10" s="11" t="n">
        <v>1302</v>
      </c>
      <c r="F10" s="11" t="n">
        <v>1053.5</v>
      </c>
    </row>
    <row r="11">
      <c r="A11" s="10" t="inlineStr">
        <is>
          <t>DZL</t>
        </is>
      </c>
      <c r="B11" s="16" t="n">
        <v>46241</v>
      </c>
      <c r="C11" s="11" t="n">
        <v>1355</v>
      </c>
      <c r="D11" s="11" t="n">
        <v>950</v>
      </c>
      <c r="E11" s="11" t="n">
        <v>1305</v>
      </c>
      <c r="F11" s="11" t="n">
        <v>1096.571428571429</v>
      </c>
    </row>
    <row r="12">
      <c r="A12" s="10" t="inlineStr">
        <is>
          <t>DZL</t>
        </is>
      </c>
      <c r="B12" s="16" t="n">
        <v>46242</v>
      </c>
      <c r="C12" s="11" t="n">
        <v>1720</v>
      </c>
      <c r="D12" s="11" t="n">
        <v>1205</v>
      </c>
      <c r="E12" s="11" t="n">
        <v>1653</v>
      </c>
      <c r="F12" s="11" t="n">
        <v>1218.857142857143</v>
      </c>
    </row>
    <row r="13">
      <c r="A13" s="10" t="inlineStr">
        <is>
          <t>DZL</t>
        </is>
      </c>
      <c r="B13" s="16" t="n">
        <v>46243</v>
      </c>
      <c r="C13" s="11" t="n">
        <v>1490</v>
      </c>
      <c r="D13" s="11" t="n">
        <v>1046</v>
      </c>
      <c r="E13" s="11" t="n">
        <v>1424</v>
      </c>
      <c r="F13" s="11" t="n">
        <v>1301.714285714286</v>
      </c>
    </row>
    <row r="14">
      <c r="A14" s="10" t="inlineStr">
        <is>
          <t>DZL</t>
        </is>
      </c>
      <c r="B14" s="16" t="n">
        <v>46244</v>
      </c>
      <c r="C14" s="11" t="n">
        <v>1196</v>
      </c>
      <c r="D14" s="11" t="n">
        <v>842</v>
      </c>
      <c r="E14" s="11" t="n">
        <v>1158</v>
      </c>
      <c r="F14" s="11" t="n">
        <v>1366</v>
      </c>
    </row>
    <row r="15">
      <c r="A15" s="10" t="inlineStr">
        <is>
          <t>DZL</t>
        </is>
      </c>
      <c r="B15" s="16" t="n">
        <v>46245</v>
      </c>
      <c r="C15" s="11" t="n">
        <v>1195</v>
      </c>
      <c r="D15" s="11" t="n">
        <v>828</v>
      </c>
      <c r="E15" s="11" t="n">
        <v>1162</v>
      </c>
      <c r="F15" s="11" t="n">
        <v>1426.571428571429</v>
      </c>
    </row>
    <row r="16">
      <c r="A16" s="10" t="inlineStr">
        <is>
          <t>DZL</t>
        </is>
      </c>
      <c r="B16" s="16" t="n">
        <v>46246</v>
      </c>
      <c r="C16" s="11" t="n">
        <v>1138</v>
      </c>
      <c r="D16" s="11" t="n">
        <v>810</v>
      </c>
      <c r="E16" s="11" t="n">
        <v>1094</v>
      </c>
      <c r="F16" s="11" t="n">
        <v>1350</v>
      </c>
    </row>
    <row r="17">
      <c r="A17" s="10" t="inlineStr">
        <is>
          <t>DZL</t>
        </is>
      </c>
      <c r="B17" s="16" t="n">
        <v>46247</v>
      </c>
      <c r="C17" s="11" t="n">
        <v>1159</v>
      </c>
      <c r="D17" s="11" t="n">
        <v>814</v>
      </c>
      <c r="E17" s="11" t="n">
        <v>1129</v>
      </c>
      <c r="F17" s="11" t="n">
        <v>1321.857142857143</v>
      </c>
    </row>
    <row r="18">
      <c r="A18" s="10" t="inlineStr">
        <is>
          <t>DZL</t>
        </is>
      </c>
      <c r="B18" s="16" t="n">
        <v>46248</v>
      </c>
      <c r="C18" s="11" t="n">
        <v>1068</v>
      </c>
      <c r="D18" s="11" t="n">
        <v>763</v>
      </c>
      <c r="E18" s="11" t="n">
        <v>1042</v>
      </c>
      <c r="F18" s="11" t="n">
        <v>1280.857142857143</v>
      </c>
    </row>
    <row r="19">
      <c r="A19" s="10" t="inlineStr">
        <is>
          <t>DZL</t>
        </is>
      </c>
      <c r="B19" s="16" t="n">
        <v>46249</v>
      </c>
      <c r="C19" s="11" t="n">
        <v>1200</v>
      </c>
      <c r="D19" s="11" t="n">
        <v>851</v>
      </c>
      <c r="E19" s="11" t="n">
        <v>1171</v>
      </c>
      <c r="F19" s="11" t="n">
        <v>1206.571428571429</v>
      </c>
    </row>
    <row r="20">
      <c r="A20" s="10" t="inlineStr">
        <is>
          <t>DZL</t>
        </is>
      </c>
      <c r="B20" s="16" t="n">
        <v>46250</v>
      </c>
      <c r="C20" s="11" t="n">
        <v>1175</v>
      </c>
      <c r="D20" s="11" t="n">
        <v>827</v>
      </c>
      <c r="E20" s="11" t="n">
        <v>1142</v>
      </c>
      <c r="F20" s="11" t="n">
        <v>1161.571428571429</v>
      </c>
    </row>
    <row r="21">
      <c r="A21" s="10" t="inlineStr">
        <is>
          <t>DZL</t>
        </is>
      </c>
      <c r="B21" s="16" t="n">
        <v>46251</v>
      </c>
      <c r="C21" s="11" t="n">
        <v>895</v>
      </c>
      <c r="D21" s="11" t="n">
        <v>644</v>
      </c>
      <c r="E21" s="11" t="n">
        <v>876</v>
      </c>
      <c r="F21" s="11" t="n">
        <v>1118.571428571429</v>
      </c>
    </row>
    <row r="22">
      <c r="A22" s="10" t="inlineStr">
        <is>
          <t>DZL</t>
        </is>
      </c>
      <c r="B22" s="16" t="n">
        <v>46252</v>
      </c>
      <c r="C22" s="11" t="n">
        <v>841</v>
      </c>
      <c r="D22" s="11" t="n">
        <v>587</v>
      </c>
      <c r="E22" s="11" t="n">
        <v>820</v>
      </c>
      <c r="F22" s="11" t="n">
        <v>1068</v>
      </c>
    </row>
    <row r="23">
      <c r="A23" s="10" t="inlineStr">
        <is>
          <t>DZL</t>
        </is>
      </c>
      <c r="B23" s="16" t="n">
        <v>46253</v>
      </c>
      <c r="C23" s="11" t="n">
        <v>1068</v>
      </c>
      <c r="D23" s="11" t="n">
        <v>774</v>
      </c>
      <c r="E23" s="11" t="n">
        <v>1044</v>
      </c>
      <c r="F23" s="11" t="n">
        <v>1058</v>
      </c>
    </row>
    <row r="24">
      <c r="A24" s="10" t="inlineStr">
        <is>
          <t>DZL</t>
        </is>
      </c>
      <c r="B24" s="16" t="n">
        <v>46254</v>
      </c>
      <c r="C24" s="11" t="n">
        <v>1229</v>
      </c>
      <c r="D24" s="11" t="n">
        <v>980</v>
      </c>
      <c r="E24" s="11" t="n">
        <v>1180</v>
      </c>
      <c r="F24" s="11" t="n">
        <v>1068</v>
      </c>
    </row>
    <row r="25">
      <c r="A25" s="10" t="inlineStr">
        <is>
          <t>DZL</t>
        </is>
      </c>
      <c r="B25" s="16" t="n">
        <v>46255</v>
      </c>
      <c r="C25" s="11" t="n">
        <v>1405</v>
      </c>
      <c r="D25" s="11" t="n">
        <v>1071</v>
      </c>
      <c r="E25" s="11" t="n">
        <v>1349</v>
      </c>
      <c r="F25" s="11" t="n">
        <v>1116.142857142857</v>
      </c>
    </row>
    <row r="26">
      <c r="A26" s="10" t="inlineStr">
        <is>
          <t>DZL</t>
        </is>
      </c>
      <c r="B26" s="16" t="n">
        <v>46256</v>
      </c>
      <c r="C26" s="11" t="n">
        <v>1499</v>
      </c>
      <c r="D26" s="11" t="n">
        <v>1184</v>
      </c>
      <c r="E26" s="11" t="n">
        <v>1445</v>
      </c>
      <c r="F26" s="11" t="n">
        <v>1158.857142857143</v>
      </c>
    </row>
    <row r="27">
      <c r="A27" s="10" t="inlineStr">
        <is>
          <t>DZL</t>
        </is>
      </c>
      <c r="B27" s="16" t="n">
        <v>46257</v>
      </c>
      <c r="C27" s="11" t="n">
        <v>1286</v>
      </c>
      <c r="D27" s="11" t="n">
        <v>1007</v>
      </c>
      <c r="E27" s="11" t="n">
        <v>1239</v>
      </c>
      <c r="F27" s="11" t="n">
        <v>1174.714285714286</v>
      </c>
    </row>
    <row r="28">
      <c r="A28" s="10" t="inlineStr">
        <is>
          <t>DZL</t>
        </is>
      </c>
      <c r="B28" s="16" t="n">
        <v>46258</v>
      </c>
      <c r="C28" s="11" t="n">
        <v>1199</v>
      </c>
      <c r="D28" s="11" t="n">
        <v>953</v>
      </c>
      <c r="E28" s="11" t="n">
        <v>1172</v>
      </c>
      <c r="F28" s="11" t="n">
        <v>1218.142857142857</v>
      </c>
    </row>
    <row r="29">
      <c r="A29" s="10" t="inlineStr">
        <is>
          <t>DZL</t>
        </is>
      </c>
      <c r="B29" s="16" t="n">
        <v>46259</v>
      </c>
      <c r="C29" s="11" t="n">
        <v>1223</v>
      </c>
      <c r="D29" s="11" t="n">
        <v>974</v>
      </c>
      <c r="E29" s="11" t="n">
        <v>1183</v>
      </c>
      <c r="F29" s="11" t="n">
        <v>1272.714285714286</v>
      </c>
    </row>
    <row r="30">
      <c r="A30" s="10" t="inlineStr">
        <is>
          <t>DZL</t>
        </is>
      </c>
      <c r="B30" s="16" t="n">
        <v>46260</v>
      </c>
      <c r="C30" s="11" t="n">
        <v>1223</v>
      </c>
      <c r="D30" s="11" t="n">
        <v>937</v>
      </c>
      <c r="E30" s="11" t="n">
        <v>1183</v>
      </c>
      <c r="F30" s="11" t="n">
        <v>1294.857142857143</v>
      </c>
    </row>
    <row r="31">
      <c r="A31" s="10" t="inlineStr">
        <is>
          <t>DZL</t>
        </is>
      </c>
      <c r="B31" s="16" t="n">
        <v>46261</v>
      </c>
      <c r="C31" s="11" t="n">
        <v>1246</v>
      </c>
      <c r="D31" s="11" t="n">
        <v>977</v>
      </c>
      <c r="E31" s="11" t="n">
        <v>1207</v>
      </c>
      <c r="F31" s="11" t="n">
        <v>1297.285714285714</v>
      </c>
    </row>
    <row r="32">
      <c r="A32" s="10" t="inlineStr">
        <is>
          <t>DZL</t>
        </is>
      </c>
      <c r="B32" s="16" t="n">
        <v>46262</v>
      </c>
      <c r="C32" s="11" t="n">
        <v>1187</v>
      </c>
      <c r="D32" s="11" t="n">
        <v>928</v>
      </c>
      <c r="E32" s="11" t="n">
        <v>1147</v>
      </c>
      <c r="F32" s="11" t="n">
        <v>1266.142857142857</v>
      </c>
    </row>
    <row r="33">
      <c r="A33" s="10" t="inlineStr">
        <is>
          <t>DZL</t>
        </is>
      </c>
      <c r="B33" s="16" t="n">
        <v>46263</v>
      </c>
      <c r="C33" s="11" t="n">
        <v>1378</v>
      </c>
      <c r="D33" s="11" t="n">
        <v>1093</v>
      </c>
      <c r="E33" s="11" t="n">
        <v>1327</v>
      </c>
      <c r="F33" s="11" t="n">
        <v>1248.857142857143</v>
      </c>
    </row>
    <row r="34">
      <c r="A34" s="10" t="inlineStr">
        <is>
          <t>DZL</t>
        </is>
      </c>
      <c r="B34" s="16" t="n">
        <v>46264</v>
      </c>
      <c r="C34" s="11" t="n">
        <v>1444</v>
      </c>
      <c r="D34" s="11" t="n">
        <v>1121</v>
      </c>
      <c r="E34" s="11" t="n">
        <v>1385</v>
      </c>
      <c r="F34" s="11" t="n">
        <v>1271.428571428571</v>
      </c>
    </row>
    <row r="35">
      <c r="A35" s="10" t="inlineStr">
        <is>
          <t>DZL</t>
        </is>
      </c>
      <c r="B35" s="16" t="n">
        <v>46265</v>
      </c>
      <c r="C35" s="11" t="n">
        <v>1261</v>
      </c>
      <c r="D35" s="11" t="n">
        <v>971</v>
      </c>
      <c r="E35" s="11" t="n">
        <v>1215</v>
      </c>
      <c r="F35" s="11" t="n">
        <v>1280.285714285714</v>
      </c>
    </row>
    <row r="36">
      <c r="A36" s="10" t="inlineStr">
        <is>
          <t>GRD</t>
        </is>
      </c>
      <c r="B36" s="16" t="n">
        <v>46235</v>
      </c>
      <c r="C36" s="11" t="n">
        <v>449</v>
      </c>
      <c r="D36" s="11" t="n">
        <v>427</v>
      </c>
      <c r="E36" s="11" t="n">
        <v>443</v>
      </c>
      <c r="F36" s="11" t="n">
        <v>449</v>
      </c>
    </row>
    <row r="37">
      <c r="A37" s="10" t="inlineStr">
        <is>
          <t>GRD</t>
        </is>
      </c>
      <c r="B37" s="16" t="n">
        <v>46236</v>
      </c>
      <c r="C37" s="11" t="n">
        <v>377</v>
      </c>
      <c r="D37" s="11" t="n">
        <v>355</v>
      </c>
      <c r="E37" s="11" t="n">
        <v>370</v>
      </c>
      <c r="F37" s="11" t="n">
        <v>413</v>
      </c>
    </row>
    <row r="38">
      <c r="A38" s="10" t="inlineStr">
        <is>
          <t>GRD</t>
        </is>
      </c>
      <c r="B38" s="16" t="n">
        <v>46237</v>
      </c>
      <c r="C38" s="11" t="n">
        <v>343</v>
      </c>
      <c r="D38" s="11" t="n">
        <v>325</v>
      </c>
      <c r="E38" s="11" t="n">
        <v>339</v>
      </c>
      <c r="F38" s="11" t="n">
        <v>389.6666666666667</v>
      </c>
    </row>
    <row r="39">
      <c r="A39" s="10" t="inlineStr">
        <is>
          <t>GRD</t>
        </is>
      </c>
      <c r="B39" s="16" t="n">
        <v>46238</v>
      </c>
      <c r="C39" s="11" t="n">
        <v>339</v>
      </c>
      <c r="D39" s="11" t="n">
        <v>327</v>
      </c>
      <c r="E39" s="11" t="n">
        <v>334</v>
      </c>
      <c r="F39" s="11" t="n">
        <v>377</v>
      </c>
    </row>
    <row r="40">
      <c r="A40" s="10" t="inlineStr">
        <is>
          <t>GRD</t>
        </is>
      </c>
      <c r="B40" s="16" t="n">
        <v>46239</v>
      </c>
      <c r="C40" s="11" t="n">
        <v>362</v>
      </c>
      <c r="D40" s="11" t="n">
        <v>343</v>
      </c>
      <c r="E40" s="11" t="n">
        <v>356</v>
      </c>
      <c r="F40" s="11" t="n">
        <v>374</v>
      </c>
    </row>
    <row r="41">
      <c r="A41" s="10" t="inlineStr">
        <is>
          <t>GRD</t>
        </is>
      </c>
      <c r="B41" s="16" t="n">
        <v>46240</v>
      </c>
      <c r="C41" s="11" t="n">
        <v>383</v>
      </c>
      <c r="D41" s="11" t="n">
        <v>364</v>
      </c>
      <c r="E41" s="11" t="n">
        <v>373</v>
      </c>
      <c r="F41" s="11" t="n">
        <v>375.5</v>
      </c>
    </row>
    <row r="42">
      <c r="A42" s="10" t="inlineStr">
        <is>
          <t>GRD</t>
        </is>
      </c>
      <c r="B42" s="16" t="n">
        <v>46241</v>
      </c>
      <c r="C42" s="11" t="n">
        <v>303</v>
      </c>
      <c r="D42" s="11" t="n">
        <v>285</v>
      </c>
      <c r="E42" s="11" t="n">
        <v>296</v>
      </c>
      <c r="F42" s="11" t="n">
        <v>365.1428571428572</v>
      </c>
    </row>
    <row r="43">
      <c r="A43" s="10" t="inlineStr">
        <is>
          <t>GRD</t>
        </is>
      </c>
      <c r="B43" s="16" t="n">
        <v>46242</v>
      </c>
      <c r="C43" s="11" t="n">
        <v>402</v>
      </c>
      <c r="D43" s="11" t="n">
        <v>380</v>
      </c>
      <c r="E43" s="11" t="n">
        <v>397</v>
      </c>
      <c r="F43" s="11" t="n">
        <v>358.4285714285714</v>
      </c>
    </row>
    <row r="44">
      <c r="A44" s="10" t="inlineStr">
        <is>
          <t>GRD</t>
        </is>
      </c>
      <c r="B44" s="16" t="n">
        <v>46243</v>
      </c>
      <c r="C44" s="11" t="n">
        <v>512</v>
      </c>
      <c r="D44" s="11" t="n">
        <v>480</v>
      </c>
      <c r="E44" s="11" t="n">
        <v>502</v>
      </c>
      <c r="F44" s="11" t="n">
        <v>377.7142857142857</v>
      </c>
    </row>
    <row r="45">
      <c r="A45" s="10" t="inlineStr">
        <is>
          <t>GRD</t>
        </is>
      </c>
      <c r="B45" s="16" t="n">
        <v>46244</v>
      </c>
      <c r="C45" s="11" t="n">
        <v>744</v>
      </c>
      <c r="D45" s="11" t="n">
        <v>577</v>
      </c>
      <c r="E45" s="11" t="n">
        <v>723</v>
      </c>
      <c r="F45" s="11" t="n">
        <v>435</v>
      </c>
    </row>
    <row r="46">
      <c r="A46" s="10" t="inlineStr">
        <is>
          <t>GRD</t>
        </is>
      </c>
      <c r="B46" s="16" t="n">
        <v>46245</v>
      </c>
      <c r="C46" s="11" t="n">
        <v>854</v>
      </c>
      <c r="D46" s="11" t="n">
        <v>635</v>
      </c>
      <c r="E46" s="11" t="n">
        <v>825</v>
      </c>
      <c r="F46" s="11" t="n">
        <v>508.5714285714286</v>
      </c>
    </row>
    <row r="47">
      <c r="A47" s="10" t="inlineStr">
        <is>
          <t>GRD</t>
        </is>
      </c>
      <c r="B47" s="16" t="n">
        <v>46246</v>
      </c>
      <c r="C47" s="11" t="n">
        <v>734</v>
      </c>
      <c r="D47" s="11" t="n">
        <v>559</v>
      </c>
      <c r="E47" s="11" t="n">
        <v>719</v>
      </c>
      <c r="F47" s="11" t="n">
        <v>561.7142857142857</v>
      </c>
    </row>
    <row r="48">
      <c r="A48" s="10" t="inlineStr">
        <is>
          <t>GRD</t>
        </is>
      </c>
      <c r="B48" s="16" t="n">
        <v>46247</v>
      </c>
      <c r="C48" s="11" t="n">
        <v>828</v>
      </c>
      <c r="D48" s="11" t="n">
        <v>608</v>
      </c>
      <c r="E48" s="11" t="n">
        <v>792</v>
      </c>
      <c r="F48" s="11" t="n">
        <v>625.2857142857143</v>
      </c>
    </row>
    <row r="49">
      <c r="A49" s="10" t="inlineStr">
        <is>
          <t>GRD</t>
        </is>
      </c>
      <c r="B49" s="16" t="n">
        <v>46248</v>
      </c>
      <c r="C49" s="11" t="n">
        <v>2335</v>
      </c>
      <c r="D49" s="11" t="n">
        <v>1736</v>
      </c>
      <c r="E49" s="11" t="n">
        <v>2141</v>
      </c>
      <c r="F49" s="11" t="n">
        <v>915.5714285714286</v>
      </c>
    </row>
    <row r="50">
      <c r="A50" s="10" t="inlineStr">
        <is>
          <t>GRD</t>
        </is>
      </c>
      <c r="B50" s="16" t="n">
        <v>46249</v>
      </c>
      <c r="C50" s="11" t="n">
        <v>3211</v>
      </c>
      <c r="D50" s="11" t="n">
        <v>2365</v>
      </c>
      <c r="E50" s="11" t="n">
        <v>2859</v>
      </c>
      <c r="F50" s="11" t="n">
        <v>1316.857142857143</v>
      </c>
    </row>
    <row r="51">
      <c r="A51" s="10" t="inlineStr">
        <is>
          <t>GRD</t>
        </is>
      </c>
      <c r="B51" s="16" t="n">
        <v>46250</v>
      </c>
      <c r="C51" s="11" t="n">
        <v>2990</v>
      </c>
      <c r="D51" s="11" t="n">
        <v>2274</v>
      </c>
      <c r="E51" s="11" t="n">
        <v>2680</v>
      </c>
      <c r="F51" s="11" t="n">
        <v>1670.857142857143</v>
      </c>
    </row>
    <row r="52">
      <c r="A52" s="10" t="inlineStr">
        <is>
          <t>GRD</t>
        </is>
      </c>
      <c r="B52" s="16" t="n">
        <v>46251</v>
      </c>
      <c r="C52" s="11" t="n">
        <v>2856</v>
      </c>
      <c r="D52" s="11" t="n">
        <v>2118</v>
      </c>
      <c r="E52" s="11" t="n">
        <v>2544</v>
      </c>
      <c r="F52" s="11" t="n">
        <v>1972.571428571429</v>
      </c>
    </row>
    <row r="53">
      <c r="A53" s="10" t="inlineStr">
        <is>
          <t>GRD</t>
        </is>
      </c>
      <c r="B53" s="16" t="n">
        <v>46252</v>
      </c>
      <c r="C53" s="11" t="n">
        <v>2286</v>
      </c>
      <c r="D53" s="11" t="n">
        <v>1718</v>
      </c>
      <c r="E53" s="11" t="n">
        <v>2096</v>
      </c>
      <c r="F53" s="11" t="n">
        <v>2177.142857142857</v>
      </c>
    </row>
    <row r="54">
      <c r="A54" s="10" t="inlineStr">
        <is>
          <t>GRD</t>
        </is>
      </c>
      <c r="B54" s="16" t="n">
        <v>46253</v>
      </c>
      <c r="C54" s="11" t="n">
        <v>2102</v>
      </c>
      <c r="D54" s="11" t="n">
        <v>1611</v>
      </c>
      <c r="E54" s="11" t="n">
        <v>1952</v>
      </c>
      <c r="F54" s="11" t="n">
        <v>2372.571428571428</v>
      </c>
    </row>
    <row r="55">
      <c r="A55" s="10" t="inlineStr">
        <is>
          <t>GRD</t>
        </is>
      </c>
      <c r="B55" s="16" t="n">
        <v>46254</v>
      </c>
      <c r="C55" s="11" t="n">
        <v>2101</v>
      </c>
      <c r="D55" s="11" t="n">
        <v>1613</v>
      </c>
      <c r="E55" s="11" t="n">
        <v>1935</v>
      </c>
      <c r="F55" s="11" t="n">
        <v>2554.428571428572</v>
      </c>
    </row>
    <row r="56">
      <c r="A56" s="10" t="inlineStr">
        <is>
          <t>GRD</t>
        </is>
      </c>
      <c r="B56" s="16" t="n">
        <v>46255</v>
      </c>
      <c r="C56" s="11" t="n">
        <v>2085</v>
      </c>
      <c r="D56" s="11" t="n">
        <v>1573</v>
      </c>
      <c r="E56" s="11" t="n">
        <v>1931</v>
      </c>
      <c r="F56" s="11" t="n">
        <v>2518.714285714286</v>
      </c>
    </row>
    <row r="57">
      <c r="A57" s="10" t="inlineStr">
        <is>
          <t>GRD</t>
        </is>
      </c>
      <c r="B57" s="16" t="n">
        <v>46256</v>
      </c>
      <c r="C57" s="11" t="n">
        <v>2794</v>
      </c>
      <c r="D57" s="11" t="n">
        <v>2103</v>
      </c>
      <c r="E57" s="11" t="n">
        <v>2513</v>
      </c>
      <c r="F57" s="11" t="n">
        <v>2459.142857142857</v>
      </c>
    </row>
    <row r="58">
      <c r="A58" s="10" t="inlineStr">
        <is>
          <t>GRD</t>
        </is>
      </c>
      <c r="B58" s="16" t="n">
        <v>46257</v>
      </c>
      <c r="C58" s="11" t="n">
        <v>2497</v>
      </c>
      <c r="D58" s="11" t="n">
        <v>1921</v>
      </c>
      <c r="E58" s="11" t="n">
        <v>2280</v>
      </c>
      <c r="F58" s="11" t="n">
        <v>2388.714285714286</v>
      </c>
    </row>
    <row r="59">
      <c r="A59" s="10" t="inlineStr">
        <is>
          <t>GRD</t>
        </is>
      </c>
      <c r="B59" s="16" t="n">
        <v>46258</v>
      </c>
      <c r="C59" s="11" t="n">
        <v>1909</v>
      </c>
      <c r="D59" s="11" t="n">
        <v>1476</v>
      </c>
      <c r="E59" s="11" t="n">
        <v>1768</v>
      </c>
      <c r="F59" s="11" t="n">
        <v>2253.428571428572</v>
      </c>
    </row>
    <row r="60">
      <c r="A60" s="10" t="inlineStr">
        <is>
          <t>GRD</t>
        </is>
      </c>
      <c r="B60" s="16" t="n">
        <v>46259</v>
      </c>
      <c r="C60" s="11" t="n">
        <v>1865</v>
      </c>
      <c r="D60" s="11" t="n">
        <v>1404</v>
      </c>
      <c r="E60" s="11" t="n">
        <v>1753</v>
      </c>
      <c r="F60" s="11" t="n">
        <v>2193.285714285714</v>
      </c>
    </row>
    <row r="61">
      <c r="A61" s="10" t="inlineStr">
        <is>
          <t>GRD</t>
        </is>
      </c>
      <c r="B61" s="16" t="n">
        <v>46260</v>
      </c>
      <c r="C61" s="11" t="n">
        <v>1838</v>
      </c>
      <c r="D61" s="11" t="n">
        <v>1375</v>
      </c>
      <c r="E61" s="11" t="n">
        <v>1725</v>
      </c>
      <c r="F61" s="11" t="n">
        <v>2155.571428571428</v>
      </c>
    </row>
    <row r="62">
      <c r="A62" s="10" t="inlineStr">
        <is>
          <t>GRD</t>
        </is>
      </c>
      <c r="B62" s="16" t="n">
        <v>46261</v>
      </c>
      <c r="C62" s="11" t="n">
        <v>1615</v>
      </c>
      <c r="D62" s="11" t="n">
        <v>1214</v>
      </c>
      <c r="E62" s="11" t="n">
        <v>1502</v>
      </c>
      <c r="F62" s="11" t="n">
        <v>2086.142857142857</v>
      </c>
    </row>
    <row r="63">
      <c r="A63" s="10" t="inlineStr">
        <is>
          <t>GRD</t>
        </is>
      </c>
      <c r="B63" s="16" t="n">
        <v>46262</v>
      </c>
      <c r="C63" s="11" t="n">
        <v>1631</v>
      </c>
      <c r="D63" s="11" t="n">
        <v>1258</v>
      </c>
      <c r="E63" s="11" t="n">
        <v>1538</v>
      </c>
      <c r="F63" s="11" t="n">
        <v>2021.285714285714</v>
      </c>
    </row>
    <row r="64">
      <c r="A64" s="10" t="inlineStr">
        <is>
          <t>GRD</t>
        </is>
      </c>
      <c r="B64" s="16" t="n">
        <v>46263</v>
      </c>
      <c r="C64" s="11" t="n">
        <v>1885</v>
      </c>
      <c r="D64" s="11" t="n">
        <v>1421</v>
      </c>
      <c r="E64" s="11" t="n">
        <v>1771</v>
      </c>
      <c r="F64" s="11" t="n">
        <v>1891.428571428571</v>
      </c>
    </row>
    <row r="65">
      <c r="A65" s="10" t="inlineStr">
        <is>
          <t>GRD</t>
        </is>
      </c>
      <c r="B65" s="16" t="n">
        <v>46264</v>
      </c>
      <c r="C65" s="11" t="n">
        <v>1948</v>
      </c>
      <c r="D65" s="11" t="n">
        <v>1456</v>
      </c>
      <c r="E65" s="11" t="n">
        <v>1807</v>
      </c>
      <c r="F65" s="11" t="n">
        <v>1813</v>
      </c>
    </row>
    <row r="66">
      <c r="A66" s="10" t="inlineStr">
        <is>
          <t>GRD</t>
        </is>
      </c>
      <c r="B66" s="16" t="n">
        <v>46265</v>
      </c>
      <c r="C66" s="11" t="n">
        <v>1397</v>
      </c>
      <c r="D66" s="11" t="n">
        <v>1042</v>
      </c>
      <c r="E66" s="11" t="n">
        <v>1330</v>
      </c>
      <c r="F66" s="11" t="n">
        <v>1739.857142857143</v>
      </c>
    </row>
    <row r="67">
      <c r="A67" s="10" t="inlineStr">
        <is>
          <t>HTL</t>
        </is>
      </c>
      <c r="B67" s="16" t="n">
        <v>46235</v>
      </c>
      <c r="C67" s="11" t="n">
        <v>1507</v>
      </c>
      <c r="D67" s="11" t="n">
        <v>1498</v>
      </c>
      <c r="E67" s="11" t="n">
        <v>1411</v>
      </c>
      <c r="F67" s="11" t="n">
        <v>1507</v>
      </c>
    </row>
    <row r="68">
      <c r="A68" s="10" t="inlineStr">
        <is>
          <t>HTL</t>
        </is>
      </c>
      <c r="B68" s="16" t="n">
        <v>46236</v>
      </c>
      <c r="C68" s="11" t="n">
        <v>1454</v>
      </c>
      <c r="D68" s="11" t="n">
        <v>1443</v>
      </c>
      <c r="E68" s="11" t="n">
        <v>1358</v>
      </c>
      <c r="F68" s="11" t="n">
        <v>1480.5</v>
      </c>
    </row>
    <row r="69">
      <c r="A69" s="10" t="inlineStr">
        <is>
          <t>HTL</t>
        </is>
      </c>
      <c r="B69" s="16" t="n">
        <v>46237</v>
      </c>
      <c r="C69" s="11" t="n">
        <v>1199</v>
      </c>
      <c r="D69" s="11" t="n">
        <v>1192</v>
      </c>
      <c r="E69" s="11" t="n">
        <v>1147</v>
      </c>
      <c r="F69" s="11" t="n">
        <v>1386.666666666667</v>
      </c>
    </row>
    <row r="70">
      <c r="A70" s="10" t="inlineStr">
        <is>
          <t>HTL</t>
        </is>
      </c>
      <c r="B70" s="16" t="n">
        <v>46238</v>
      </c>
      <c r="C70" s="11" t="n">
        <v>1287</v>
      </c>
      <c r="D70" s="11" t="n">
        <v>1281</v>
      </c>
      <c r="E70" s="11" t="n">
        <v>1227</v>
      </c>
      <c r="F70" s="11" t="n">
        <v>1361.75</v>
      </c>
    </row>
    <row r="71">
      <c r="A71" s="10" t="inlineStr">
        <is>
          <t>HTL</t>
        </is>
      </c>
      <c r="B71" s="16" t="n">
        <v>46239</v>
      </c>
      <c r="C71" s="11" t="n">
        <v>1210</v>
      </c>
      <c r="D71" s="11" t="n">
        <v>1203</v>
      </c>
      <c r="E71" s="11" t="n">
        <v>1141</v>
      </c>
      <c r="F71" s="11" t="n">
        <v>1331.4</v>
      </c>
    </row>
    <row r="72">
      <c r="A72" s="10" t="inlineStr">
        <is>
          <t>HTL</t>
        </is>
      </c>
      <c r="B72" s="16" t="n">
        <v>46240</v>
      </c>
      <c r="C72" s="11" t="n">
        <v>1327</v>
      </c>
      <c r="D72" s="11" t="n">
        <v>1324</v>
      </c>
      <c r="E72" s="11" t="n">
        <v>1250</v>
      </c>
      <c r="F72" s="11" t="n">
        <v>1330.666666666667</v>
      </c>
    </row>
    <row r="73">
      <c r="A73" s="10" t="inlineStr">
        <is>
          <t>HTL</t>
        </is>
      </c>
      <c r="B73" s="16" t="n">
        <v>46241</v>
      </c>
      <c r="C73" s="11" t="n">
        <v>1275</v>
      </c>
      <c r="D73" s="11" t="n">
        <v>1267</v>
      </c>
      <c r="E73" s="11" t="n">
        <v>1204</v>
      </c>
      <c r="F73" s="11" t="n">
        <v>1322.714285714286</v>
      </c>
    </row>
    <row r="74">
      <c r="A74" s="10" t="inlineStr">
        <is>
          <t>HTL</t>
        </is>
      </c>
      <c r="B74" s="16" t="n">
        <v>46242</v>
      </c>
      <c r="C74" s="11" t="n">
        <v>1472</v>
      </c>
      <c r="D74" s="11" t="n">
        <v>1461</v>
      </c>
      <c r="E74" s="11" t="n">
        <v>1369</v>
      </c>
      <c r="F74" s="11" t="n">
        <v>1317.714285714286</v>
      </c>
    </row>
    <row r="75">
      <c r="A75" s="10" t="inlineStr">
        <is>
          <t>HTL</t>
        </is>
      </c>
      <c r="B75" s="16" t="n">
        <v>46243</v>
      </c>
      <c r="C75" s="11" t="n">
        <v>1683</v>
      </c>
      <c r="D75" s="11" t="n">
        <v>1672</v>
      </c>
      <c r="E75" s="11" t="n">
        <v>1543</v>
      </c>
      <c r="F75" s="11" t="n">
        <v>1350.428571428571</v>
      </c>
    </row>
    <row r="76">
      <c r="A76" s="10" t="inlineStr">
        <is>
          <t>HTL</t>
        </is>
      </c>
      <c r="B76" s="16" t="n">
        <v>46244</v>
      </c>
      <c r="C76" s="11" t="n">
        <v>1461</v>
      </c>
      <c r="D76" s="11" t="n">
        <v>1450</v>
      </c>
      <c r="E76" s="11" t="n">
        <v>1364</v>
      </c>
      <c r="F76" s="11" t="n">
        <v>1387.857142857143</v>
      </c>
    </row>
    <row r="77">
      <c r="A77" s="10" t="inlineStr">
        <is>
          <t>HTL</t>
        </is>
      </c>
      <c r="B77" s="16" t="n">
        <v>46245</v>
      </c>
      <c r="C77" s="11" t="n">
        <v>1302</v>
      </c>
      <c r="D77" s="11" t="n">
        <v>1291</v>
      </c>
      <c r="E77" s="11" t="n">
        <v>1211</v>
      </c>
      <c r="F77" s="11" t="n">
        <v>1390</v>
      </c>
    </row>
    <row r="78">
      <c r="A78" s="10" t="inlineStr">
        <is>
          <t>HTL</t>
        </is>
      </c>
      <c r="B78" s="16" t="n">
        <v>46246</v>
      </c>
      <c r="C78" s="11" t="n">
        <v>1266</v>
      </c>
      <c r="D78" s="11" t="n">
        <v>1254</v>
      </c>
      <c r="E78" s="11" t="n">
        <v>1198</v>
      </c>
      <c r="F78" s="11" t="n">
        <v>1398</v>
      </c>
    </row>
    <row r="79">
      <c r="A79" s="10" t="inlineStr">
        <is>
          <t>HTL</t>
        </is>
      </c>
      <c r="B79" s="16" t="n">
        <v>46247</v>
      </c>
      <c r="C79" s="11" t="n">
        <v>1312</v>
      </c>
      <c r="D79" s="11" t="n">
        <v>1308</v>
      </c>
      <c r="E79" s="11" t="n">
        <v>1244</v>
      </c>
      <c r="F79" s="11" t="n">
        <v>1395.857142857143</v>
      </c>
    </row>
    <row r="80">
      <c r="A80" s="10" t="inlineStr">
        <is>
          <t>HTL</t>
        </is>
      </c>
      <c r="B80" s="16" t="n">
        <v>46248</v>
      </c>
      <c r="C80" s="11" t="n">
        <v>1296</v>
      </c>
      <c r="D80" s="11" t="n">
        <v>1296</v>
      </c>
      <c r="E80" s="11" t="n">
        <v>1215</v>
      </c>
      <c r="F80" s="11" t="n">
        <v>1398.857142857143</v>
      </c>
    </row>
    <row r="81">
      <c r="A81" s="10" t="inlineStr">
        <is>
          <t>HTL</t>
        </is>
      </c>
      <c r="B81" s="16" t="n">
        <v>46249</v>
      </c>
      <c r="C81" s="11" t="n">
        <v>1530</v>
      </c>
      <c r="D81" s="11" t="n">
        <v>1524</v>
      </c>
      <c r="E81" s="11" t="n">
        <v>1414</v>
      </c>
      <c r="F81" s="11" t="n">
        <v>1407.142857142857</v>
      </c>
    </row>
    <row r="82">
      <c r="A82" s="10" t="inlineStr">
        <is>
          <t>HTL</t>
        </is>
      </c>
      <c r="B82" s="16" t="n">
        <v>46250</v>
      </c>
      <c r="C82" s="11" t="n">
        <v>1618</v>
      </c>
      <c r="D82" s="11" t="n">
        <v>1606</v>
      </c>
      <c r="E82" s="11" t="n">
        <v>1490</v>
      </c>
      <c r="F82" s="11" t="n">
        <v>1397.857142857143</v>
      </c>
    </row>
    <row r="83">
      <c r="A83" s="10" t="inlineStr">
        <is>
          <t>HTL</t>
        </is>
      </c>
      <c r="B83" s="16" t="n">
        <v>46251</v>
      </c>
      <c r="C83" s="11" t="n">
        <v>1476</v>
      </c>
      <c r="D83" s="11" t="n">
        <v>1462</v>
      </c>
      <c r="E83" s="11" t="n">
        <v>1373</v>
      </c>
      <c r="F83" s="11" t="n">
        <v>1400</v>
      </c>
    </row>
    <row r="84">
      <c r="A84" s="10" t="inlineStr">
        <is>
          <t>HTL</t>
        </is>
      </c>
      <c r="B84" s="16" t="n">
        <v>46252</v>
      </c>
      <c r="C84" s="11" t="n">
        <v>1391</v>
      </c>
      <c r="D84" s="11" t="n">
        <v>1385</v>
      </c>
      <c r="E84" s="11" t="n">
        <v>1291</v>
      </c>
      <c r="F84" s="11" t="n">
        <v>1412.714285714286</v>
      </c>
    </row>
    <row r="85">
      <c r="A85" s="10" t="inlineStr">
        <is>
          <t>HTL</t>
        </is>
      </c>
      <c r="B85" s="16" t="n">
        <v>46253</v>
      </c>
      <c r="C85" s="11" t="n">
        <v>1364</v>
      </c>
      <c r="D85" s="11" t="n">
        <v>1352</v>
      </c>
      <c r="E85" s="11" t="n">
        <v>1271</v>
      </c>
      <c r="F85" s="11" t="n">
        <v>1426.714285714286</v>
      </c>
    </row>
    <row r="86">
      <c r="A86" s="10" t="inlineStr">
        <is>
          <t>HTL</t>
        </is>
      </c>
      <c r="B86" s="16" t="n">
        <v>46254</v>
      </c>
      <c r="C86" s="11" t="n">
        <v>1188</v>
      </c>
      <c r="D86" s="11" t="n">
        <v>1180</v>
      </c>
      <c r="E86" s="11" t="n">
        <v>1126</v>
      </c>
      <c r="F86" s="11" t="n">
        <v>1409</v>
      </c>
    </row>
    <row r="87">
      <c r="A87" s="10" t="inlineStr">
        <is>
          <t>HTL</t>
        </is>
      </c>
      <c r="B87" s="16" t="n">
        <v>46255</v>
      </c>
      <c r="C87" s="11" t="n">
        <v>1339</v>
      </c>
      <c r="D87" s="11" t="n">
        <v>1329</v>
      </c>
      <c r="E87" s="11" t="n">
        <v>1253</v>
      </c>
      <c r="F87" s="11" t="n">
        <v>1415.142857142857</v>
      </c>
    </row>
    <row r="88">
      <c r="A88" s="10" t="inlineStr">
        <is>
          <t>HTL</t>
        </is>
      </c>
      <c r="B88" s="16" t="n">
        <v>46256</v>
      </c>
      <c r="C88" s="11" t="n">
        <v>1567</v>
      </c>
      <c r="D88" s="11" t="n">
        <v>1554</v>
      </c>
      <c r="E88" s="11" t="n">
        <v>1454</v>
      </c>
      <c r="F88" s="11" t="n">
        <v>1420.428571428571</v>
      </c>
    </row>
    <row r="89">
      <c r="A89" s="10" t="inlineStr">
        <is>
          <t>HTL</t>
        </is>
      </c>
      <c r="B89" s="16" t="n">
        <v>46257</v>
      </c>
      <c r="C89" s="11" t="n">
        <v>1471</v>
      </c>
      <c r="D89" s="11" t="n">
        <v>1463</v>
      </c>
      <c r="E89" s="11" t="n">
        <v>1360</v>
      </c>
      <c r="F89" s="11" t="n">
        <v>1399.428571428571</v>
      </c>
    </row>
    <row r="90">
      <c r="A90" s="10" t="inlineStr">
        <is>
          <t>HTL</t>
        </is>
      </c>
      <c r="B90" s="16" t="n">
        <v>46258</v>
      </c>
      <c r="C90" s="11" t="n">
        <v>1333</v>
      </c>
      <c r="D90" s="11" t="n">
        <v>1325</v>
      </c>
      <c r="E90" s="11" t="n">
        <v>1245</v>
      </c>
      <c r="F90" s="11" t="n">
        <v>1379</v>
      </c>
    </row>
    <row r="91">
      <c r="A91" s="10" t="inlineStr">
        <is>
          <t>HTL</t>
        </is>
      </c>
      <c r="B91" s="16" t="n">
        <v>46259</v>
      </c>
      <c r="C91" s="11" t="n">
        <v>1409</v>
      </c>
      <c r="D91" s="11" t="n">
        <v>1398</v>
      </c>
      <c r="E91" s="11" t="n">
        <v>1335</v>
      </c>
      <c r="F91" s="11" t="n">
        <v>1381.571428571429</v>
      </c>
    </row>
    <row r="92">
      <c r="A92" s="10" t="inlineStr">
        <is>
          <t>HTL</t>
        </is>
      </c>
      <c r="B92" s="16" t="n">
        <v>46260</v>
      </c>
      <c r="C92" s="11" t="n">
        <v>1352</v>
      </c>
      <c r="D92" s="11" t="n">
        <v>1345</v>
      </c>
      <c r="E92" s="11" t="n">
        <v>1274</v>
      </c>
      <c r="F92" s="11" t="n">
        <v>1379.857142857143</v>
      </c>
    </row>
    <row r="93">
      <c r="A93" s="10" t="inlineStr">
        <is>
          <t>HTL</t>
        </is>
      </c>
      <c r="B93" s="16" t="n">
        <v>46261</v>
      </c>
      <c r="C93" s="11" t="n">
        <v>1220</v>
      </c>
      <c r="D93" s="11" t="n">
        <v>1216</v>
      </c>
      <c r="E93" s="11" t="n">
        <v>1149</v>
      </c>
      <c r="F93" s="11" t="n">
        <v>1384.428571428571</v>
      </c>
    </row>
    <row r="94">
      <c r="A94" s="10" t="inlineStr">
        <is>
          <t>HTL</t>
        </is>
      </c>
      <c r="B94" s="16" t="n">
        <v>46262</v>
      </c>
      <c r="C94" s="11" t="n">
        <v>1414</v>
      </c>
      <c r="D94" s="11" t="n">
        <v>1404</v>
      </c>
      <c r="E94" s="11" t="n">
        <v>1326</v>
      </c>
      <c r="F94" s="11" t="n">
        <v>1395.142857142857</v>
      </c>
    </row>
    <row r="95">
      <c r="A95" s="10" t="inlineStr">
        <is>
          <t>HTL</t>
        </is>
      </c>
      <c r="B95" s="16" t="n">
        <v>46263</v>
      </c>
      <c r="C95" s="11" t="n">
        <v>1682</v>
      </c>
      <c r="D95" s="11" t="n">
        <v>1675</v>
      </c>
      <c r="E95" s="11" t="n">
        <v>1530</v>
      </c>
      <c r="F95" s="11" t="n">
        <v>1411.571428571429</v>
      </c>
    </row>
    <row r="96">
      <c r="A96" s="10" t="inlineStr">
        <is>
          <t>HTL</t>
        </is>
      </c>
      <c r="B96" s="16" t="n">
        <v>46264</v>
      </c>
      <c r="C96" s="11" t="n">
        <v>1682</v>
      </c>
      <c r="D96" s="11" t="n">
        <v>1673</v>
      </c>
      <c r="E96" s="11" t="n">
        <v>1557</v>
      </c>
      <c r="F96" s="11" t="n">
        <v>1441.714285714286</v>
      </c>
    </row>
    <row r="97">
      <c r="A97" s="10" t="inlineStr">
        <is>
          <t>HTL</t>
        </is>
      </c>
      <c r="B97" s="16" t="n">
        <v>46265</v>
      </c>
      <c r="C97" s="11" t="n">
        <v>1455</v>
      </c>
      <c r="D97" s="11" t="n">
        <v>1448</v>
      </c>
      <c r="E97" s="11" t="n">
        <v>1369</v>
      </c>
      <c r="F97" s="11" t="n">
        <v>1459.142857142857</v>
      </c>
    </row>
    <row r="98">
      <c r="A98" s="10" t="inlineStr">
        <is>
          <t>PFC</t>
        </is>
      </c>
      <c r="B98" s="16" t="n">
        <v>46235</v>
      </c>
      <c r="C98" s="11" t="n">
        <v>1240</v>
      </c>
      <c r="D98" s="11" t="n">
        <v>680</v>
      </c>
      <c r="E98" s="11" t="n">
        <v>1189</v>
      </c>
      <c r="F98" s="11" t="n">
        <v>1240</v>
      </c>
    </row>
    <row r="99">
      <c r="A99" s="10" t="inlineStr">
        <is>
          <t>PFC</t>
        </is>
      </c>
      <c r="B99" s="16" t="n">
        <v>46236</v>
      </c>
      <c r="C99" s="11" t="n">
        <v>1263</v>
      </c>
      <c r="D99" s="11" t="n">
        <v>727</v>
      </c>
      <c r="E99" s="11" t="n">
        <v>1202</v>
      </c>
      <c r="F99" s="11" t="n">
        <v>1251.5</v>
      </c>
    </row>
    <row r="100">
      <c r="A100" s="10" t="inlineStr">
        <is>
          <t>PFC</t>
        </is>
      </c>
      <c r="B100" s="16" t="n">
        <v>46237</v>
      </c>
      <c r="C100" s="11" t="n">
        <v>943</v>
      </c>
      <c r="D100" s="11" t="n">
        <v>517</v>
      </c>
      <c r="E100" s="11" t="n">
        <v>914</v>
      </c>
      <c r="F100" s="11" t="n">
        <v>1148.666666666667</v>
      </c>
    </row>
    <row r="101">
      <c r="A101" s="10" t="inlineStr">
        <is>
          <t>PFC</t>
        </is>
      </c>
      <c r="B101" s="16" t="n">
        <v>46238</v>
      </c>
      <c r="C101" s="11" t="n">
        <v>968</v>
      </c>
      <c r="D101" s="11" t="n">
        <v>507</v>
      </c>
      <c r="E101" s="11" t="n">
        <v>926</v>
      </c>
      <c r="F101" s="11" t="n">
        <v>1103.5</v>
      </c>
    </row>
    <row r="102">
      <c r="A102" s="10" t="inlineStr">
        <is>
          <t>PFC</t>
        </is>
      </c>
      <c r="B102" s="16" t="n">
        <v>46239</v>
      </c>
      <c r="C102" s="11" t="n">
        <v>1034</v>
      </c>
      <c r="D102" s="11" t="n">
        <v>518</v>
      </c>
      <c r="E102" s="11" t="n">
        <v>986</v>
      </c>
      <c r="F102" s="11" t="n">
        <v>1089.6</v>
      </c>
    </row>
    <row r="103">
      <c r="A103" s="10" t="inlineStr">
        <is>
          <t>PFC</t>
        </is>
      </c>
      <c r="B103" s="16" t="n">
        <v>46240</v>
      </c>
      <c r="C103" s="11" t="n">
        <v>1054</v>
      </c>
      <c r="D103" s="11" t="n">
        <v>591</v>
      </c>
      <c r="E103" s="11" t="n">
        <v>1012</v>
      </c>
      <c r="F103" s="11" t="n">
        <v>1083.666666666667</v>
      </c>
    </row>
    <row r="104">
      <c r="A104" s="10" t="inlineStr">
        <is>
          <t>PFC</t>
        </is>
      </c>
      <c r="B104" s="16" t="n">
        <v>46241</v>
      </c>
      <c r="C104" s="11" t="n">
        <v>1031</v>
      </c>
      <c r="D104" s="11" t="n">
        <v>601</v>
      </c>
      <c r="E104" s="11" t="n">
        <v>994</v>
      </c>
      <c r="F104" s="11" t="n">
        <v>1076.142857142857</v>
      </c>
    </row>
    <row r="105">
      <c r="A105" s="10" t="inlineStr">
        <is>
          <t>PFC</t>
        </is>
      </c>
      <c r="B105" s="16" t="n">
        <v>46242</v>
      </c>
      <c r="C105" s="11" t="n">
        <v>1197</v>
      </c>
      <c r="D105" s="11" t="n">
        <v>669</v>
      </c>
      <c r="E105" s="11" t="n">
        <v>1147</v>
      </c>
      <c r="F105" s="11" t="n">
        <v>1070</v>
      </c>
    </row>
    <row r="106">
      <c r="A106" s="10" t="inlineStr">
        <is>
          <t>PFC</t>
        </is>
      </c>
      <c r="B106" s="16" t="n">
        <v>46243</v>
      </c>
      <c r="C106" s="11" t="n">
        <v>1297</v>
      </c>
      <c r="D106" s="11" t="n">
        <v>663</v>
      </c>
      <c r="E106" s="11" t="n">
        <v>1241</v>
      </c>
      <c r="F106" s="11" t="n">
        <v>1074.857142857143</v>
      </c>
    </row>
    <row r="107">
      <c r="A107" s="10" t="inlineStr">
        <is>
          <t>PFC</t>
        </is>
      </c>
      <c r="B107" s="16" t="n">
        <v>46244</v>
      </c>
      <c r="C107" s="11" t="n">
        <v>962</v>
      </c>
      <c r="D107" s="11" t="n">
        <v>545</v>
      </c>
      <c r="E107" s="11" t="n">
        <v>930</v>
      </c>
      <c r="F107" s="11" t="n">
        <v>1077.571428571429</v>
      </c>
    </row>
    <row r="108">
      <c r="A108" s="10" t="inlineStr">
        <is>
          <t>PFC</t>
        </is>
      </c>
      <c r="B108" s="16" t="n">
        <v>46245</v>
      </c>
      <c r="C108" s="11" t="n">
        <v>1063</v>
      </c>
      <c r="D108" s="11" t="n">
        <v>589</v>
      </c>
      <c r="E108" s="11" t="n">
        <v>1008</v>
      </c>
      <c r="F108" s="11" t="n">
        <v>1091.142857142857</v>
      </c>
    </row>
    <row r="109">
      <c r="A109" s="10" t="inlineStr">
        <is>
          <t>PFC</t>
        </is>
      </c>
      <c r="B109" s="16" t="n">
        <v>46246</v>
      </c>
      <c r="C109" s="11" t="n">
        <v>1007</v>
      </c>
      <c r="D109" s="11" t="n">
        <v>548</v>
      </c>
      <c r="E109" s="11" t="n">
        <v>972</v>
      </c>
      <c r="F109" s="11" t="n">
        <v>1087.285714285714</v>
      </c>
    </row>
    <row r="110">
      <c r="A110" s="10" t="inlineStr">
        <is>
          <t>PFC</t>
        </is>
      </c>
      <c r="B110" s="16" t="n">
        <v>46247</v>
      </c>
      <c r="C110" s="11" t="n">
        <v>1032</v>
      </c>
      <c r="D110" s="11" t="n">
        <v>552</v>
      </c>
      <c r="E110" s="11" t="n">
        <v>996</v>
      </c>
      <c r="F110" s="11" t="n">
        <v>1084.142857142857</v>
      </c>
    </row>
    <row r="111">
      <c r="A111" s="10" t="inlineStr">
        <is>
          <t>PFC</t>
        </is>
      </c>
      <c r="B111" s="16" t="n">
        <v>46248</v>
      </c>
      <c r="C111" s="11" t="n">
        <v>1165</v>
      </c>
      <c r="D111" s="11" t="n">
        <v>603</v>
      </c>
      <c r="E111" s="11" t="n">
        <v>1106</v>
      </c>
      <c r="F111" s="11" t="n">
        <v>1103.285714285714</v>
      </c>
    </row>
    <row r="112">
      <c r="A112" s="10" t="inlineStr">
        <is>
          <t>PFC</t>
        </is>
      </c>
      <c r="B112" s="16" t="n">
        <v>46249</v>
      </c>
      <c r="C112" s="11" t="n">
        <v>1535</v>
      </c>
      <c r="D112" s="11" t="n">
        <v>947</v>
      </c>
      <c r="E112" s="11" t="n">
        <v>1439</v>
      </c>
      <c r="F112" s="11" t="n">
        <v>1151.571428571429</v>
      </c>
    </row>
    <row r="113">
      <c r="A113" s="10" t="inlineStr">
        <is>
          <t>PFC</t>
        </is>
      </c>
      <c r="B113" s="16" t="n">
        <v>46250</v>
      </c>
      <c r="C113" s="11" t="n">
        <v>1527</v>
      </c>
      <c r="D113" s="11" t="n">
        <v>963</v>
      </c>
      <c r="E113" s="11" t="n">
        <v>1449</v>
      </c>
      <c r="F113" s="11" t="n">
        <v>1184.428571428571</v>
      </c>
    </row>
    <row r="114">
      <c r="A114" s="10" t="inlineStr">
        <is>
          <t>PFC</t>
        </is>
      </c>
      <c r="B114" s="16" t="n">
        <v>46251</v>
      </c>
      <c r="C114" s="11" t="n">
        <v>1201</v>
      </c>
      <c r="D114" s="11" t="n">
        <v>755</v>
      </c>
      <c r="E114" s="11" t="n">
        <v>1149</v>
      </c>
      <c r="F114" s="11" t="n">
        <v>1218.571428571429</v>
      </c>
    </row>
    <row r="115">
      <c r="A115" s="10" t="inlineStr">
        <is>
          <t>PFC</t>
        </is>
      </c>
      <c r="B115" s="16" t="n">
        <v>46252</v>
      </c>
      <c r="C115" s="11" t="n">
        <v>1235</v>
      </c>
      <c r="D115" s="11" t="n">
        <v>725</v>
      </c>
      <c r="E115" s="11" t="n">
        <v>1176</v>
      </c>
      <c r="F115" s="11" t="n">
        <v>1243.142857142857</v>
      </c>
    </row>
    <row r="116">
      <c r="A116" s="10" t="inlineStr">
        <is>
          <t>PFC</t>
        </is>
      </c>
      <c r="B116" s="16" t="n">
        <v>46253</v>
      </c>
      <c r="C116" s="11" t="n">
        <v>1270</v>
      </c>
      <c r="D116" s="11" t="n">
        <v>794</v>
      </c>
      <c r="E116" s="11" t="n">
        <v>1199</v>
      </c>
      <c r="F116" s="11" t="n">
        <v>1280.714285714286</v>
      </c>
    </row>
    <row r="117">
      <c r="A117" s="10" t="inlineStr">
        <is>
          <t>PFC</t>
        </is>
      </c>
      <c r="B117" s="16" t="n">
        <v>46254</v>
      </c>
      <c r="C117" s="11" t="n">
        <v>1225</v>
      </c>
      <c r="D117" s="11" t="n">
        <v>807</v>
      </c>
      <c r="E117" s="11" t="n">
        <v>1175</v>
      </c>
      <c r="F117" s="11" t="n">
        <v>1308.285714285714</v>
      </c>
    </row>
    <row r="118">
      <c r="A118" s="10" t="inlineStr">
        <is>
          <t>PFC</t>
        </is>
      </c>
      <c r="B118" s="16" t="n">
        <v>46255</v>
      </c>
      <c r="C118" s="11" t="n">
        <v>1313</v>
      </c>
      <c r="D118" s="11" t="n">
        <v>817</v>
      </c>
      <c r="E118" s="11" t="n">
        <v>1263</v>
      </c>
      <c r="F118" s="11" t="n">
        <v>1329.428571428571</v>
      </c>
    </row>
    <row r="119">
      <c r="A119" s="10" t="inlineStr">
        <is>
          <t>PFC</t>
        </is>
      </c>
      <c r="B119" s="16" t="n">
        <v>46256</v>
      </c>
      <c r="C119" s="11" t="n">
        <v>1633</v>
      </c>
      <c r="D119" s="11" t="n">
        <v>1013</v>
      </c>
      <c r="E119" s="11" t="n">
        <v>1535</v>
      </c>
      <c r="F119" s="11" t="n">
        <v>1343.428571428571</v>
      </c>
    </row>
    <row r="120">
      <c r="A120" s="10" t="inlineStr">
        <is>
          <t>PFC</t>
        </is>
      </c>
      <c r="B120" s="16" t="n">
        <v>46257</v>
      </c>
      <c r="C120" s="11" t="n">
        <v>1510</v>
      </c>
      <c r="D120" s="11" t="n">
        <v>969</v>
      </c>
      <c r="E120" s="11" t="n">
        <v>1420</v>
      </c>
      <c r="F120" s="11" t="n">
        <v>1341</v>
      </c>
    </row>
    <row r="121">
      <c r="A121" s="10" t="inlineStr">
        <is>
          <t>PFC</t>
        </is>
      </c>
      <c r="B121" s="16" t="n">
        <v>46258</v>
      </c>
      <c r="C121" s="11" t="n">
        <v>1355</v>
      </c>
      <c r="D121" s="11" t="n">
        <v>836</v>
      </c>
      <c r="E121" s="11" t="n">
        <v>1284</v>
      </c>
      <c r="F121" s="11" t="n">
        <v>1363</v>
      </c>
    </row>
    <row r="122">
      <c r="A122" s="10" t="inlineStr">
        <is>
          <t>PFC</t>
        </is>
      </c>
      <c r="B122" s="16" t="n">
        <v>46259</v>
      </c>
      <c r="C122" s="11" t="n">
        <v>1250</v>
      </c>
      <c r="D122" s="11" t="n">
        <v>769</v>
      </c>
      <c r="E122" s="11" t="n">
        <v>1197</v>
      </c>
      <c r="F122" s="11" t="n">
        <v>1365.142857142857</v>
      </c>
    </row>
    <row r="123">
      <c r="A123" s="10" t="inlineStr">
        <is>
          <t>PFC</t>
        </is>
      </c>
      <c r="B123" s="16" t="n">
        <v>46260</v>
      </c>
      <c r="C123" s="11" t="n">
        <v>1226</v>
      </c>
      <c r="D123" s="11" t="n">
        <v>788</v>
      </c>
      <c r="E123" s="11" t="n">
        <v>1174</v>
      </c>
      <c r="F123" s="11" t="n">
        <v>1358.857142857143</v>
      </c>
    </row>
    <row r="124">
      <c r="A124" s="10" t="inlineStr">
        <is>
          <t>PFC</t>
        </is>
      </c>
      <c r="B124" s="16" t="n">
        <v>46261</v>
      </c>
      <c r="C124" s="11" t="n">
        <v>1214</v>
      </c>
      <c r="D124" s="11" t="n">
        <v>772</v>
      </c>
      <c r="E124" s="11" t="n">
        <v>1150</v>
      </c>
      <c r="F124" s="11" t="n">
        <v>1357.285714285714</v>
      </c>
    </row>
    <row r="125">
      <c r="A125" s="10" t="inlineStr">
        <is>
          <t>PFC</t>
        </is>
      </c>
      <c r="B125" s="16" t="n">
        <v>46262</v>
      </c>
      <c r="C125" s="11" t="n">
        <v>1354</v>
      </c>
      <c r="D125" s="11" t="n">
        <v>868</v>
      </c>
      <c r="E125" s="11" t="n">
        <v>1293</v>
      </c>
      <c r="F125" s="11" t="n">
        <v>1363.142857142857</v>
      </c>
    </row>
    <row r="126">
      <c r="A126" s="10" t="inlineStr">
        <is>
          <t>PFC</t>
        </is>
      </c>
      <c r="B126" s="16" t="n">
        <v>46263</v>
      </c>
      <c r="C126" s="11" t="n">
        <v>1539</v>
      </c>
      <c r="D126" s="11" t="n">
        <v>957</v>
      </c>
      <c r="E126" s="11" t="n">
        <v>1461</v>
      </c>
      <c r="F126" s="11" t="n">
        <v>1349.714285714286</v>
      </c>
    </row>
    <row r="127">
      <c r="A127" s="10" t="inlineStr">
        <is>
          <t>PFC</t>
        </is>
      </c>
      <c r="B127" s="16" t="n">
        <v>46264</v>
      </c>
      <c r="C127" s="11" t="n">
        <v>1645</v>
      </c>
      <c r="D127" s="11" t="n">
        <v>1054</v>
      </c>
      <c r="E127" s="11" t="n">
        <v>1570</v>
      </c>
      <c r="F127" s="11" t="n">
        <v>1369</v>
      </c>
    </row>
    <row r="128">
      <c r="A128" s="10" t="inlineStr">
        <is>
          <t>PFC</t>
        </is>
      </c>
      <c r="B128" s="16" t="n">
        <v>46265</v>
      </c>
      <c r="C128" s="11" t="n">
        <v>1210</v>
      </c>
      <c r="D128" s="11" t="n">
        <v>730</v>
      </c>
      <c r="E128" s="11" t="n">
        <v>1148</v>
      </c>
      <c r="F128" s="11" t="n">
        <v>1348.285714285714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2" customWidth="1" min="2" max="2"/>
    <col width="9" customWidth="1" min="3" max="3"/>
    <col width="66" customWidth="1" min="4" max="4"/>
    <col width="70" customWidth="1" min="5" max="5"/>
  </cols>
  <sheetData>
    <row r="1">
      <c r="A1" s="1" t="inlineStr">
        <is>
          <t>Data Quality &amp; Automated Checks</t>
        </is>
      </c>
    </row>
    <row r="2">
      <c r="A2" s="2" t="inlineStr">
        <is>
          <t>Error-severity failures block publication; warnings are listed for follow-up.</t>
        </is>
      </c>
    </row>
    <row r="3"/>
    <row r="4" ht="30" customHeight="1">
      <c r="A4" s="9" t="inlineStr">
        <is>
          <t>Check Name</t>
        </is>
      </c>
      <c r="B4" s="9" t="inlineStr">
        <is>
          <t>Value</t>
        </is>
      </c>
      <c r="C4" s="9" t="inlineStr">
        <is>
          <t>Status</t>
        </is>
      </c>
      <c r="D4" s="9" t="inlineStr">
        <is>
          <t>Note</t>
        </is>
      </c>
    </row>
    <row r="5">
      <c r="A5" s="10" t="inlineStr">
        <is>
          <t>Raw telemetry rows</t>
        </is>
      </c>
      <c r="B5" s="11" t="n">
        <v>514197</v>
      </c>
      <c r="C5" s="10" t="inlineStr">
        <is>
          <t>info</t>
        </is>
      </c>
      <c r="D5" s="10" t="inlineStr">
        <is>
          <t>All rows received for the month</t>
        </is>
      </c>
    </row>
    <row r="6">
      <c r="A6" s="10" t="inlineStr">
        <is>
          <t>Retry duplicates removed</t>
        </is>
      </c>
      <c r="B6" s="11" t="n">
        <v>2055</v>
      </c>
      <c r="C6" s="10" t="inlineStr">
        <is>
          <t>fixed</t>
        </is>
      </c>
      <c r="D6" s="10" t="inlineStr">
        <is>
          <t>Same impression_id sent &gt;1x by client SDK; first event kept</t>
        </is>
      </c>
    </row>
    <row r="7">
      <c r="A7" s="10" t="inlineStr">
        <is>
          <t>Paid in-flight impressions</t>
        </is>
      </c>
      <c r="B7" s="11" t="n">
        <v>165416</v>
      </c>
      <c r="C7" s="10" t="inlineStr">
        <is>
          <t>info</t>
        </is>
      </c>
      <c r="D7" s="10" t="inlineStr">
        <is>
          <t>Reported + billable base</t>
        </is>
      </c>
    </row>
    <row r="8">
      <c r="A8" s="10" t="inlineStr">
        <is>
          <t>House impressions</t>
        </is>
      </c>
      <c r="B8" s="11" t="n">
        <v>346562</v>
      </c>
      <c r="C8" s="10" t="inlineStr">
        <is>
          <t>info</t>
        </is>
      </c>
      <c r="D8" s="10" t="inlineStr">
        <is>
          <t>Filler creative; counted in fill, not in sold</t>
        </is>
      </c>
    </row>
    <row r="9">
      <c r="A9" s="10" t="inlineStr">
        <is>
          <t>Out-of-flight impressions</t>
        </is>
      </c>
      <c r="B9" s="11" t="n">
        <v>0</v>
      </c>
      <c r="C9" s="10" t="inlineStr">
        <is>
          <t>flag</t>
        </is>
      </c>
      <c r="D9" s="10" t="inlineStr">
        <is>
          <t>Served outside booked flight - excluded, raise with AdOps/AdTech</t>
        </is>
      </c>
    </row>
    <row r="10">
      <c r="A10" s="10" t="inlineStr">
        <is>
          <t>Test-line impressions</t>
        </is>
      </c>
      <c r="B10" s="11" t="n">
        <v>0</v>
      </c>
      <c r="C10" s="10" t="inlineStr">
        <is>
          <t>info</t>
        </is>
      </c>
      <c r="D10" s="10" t="inlineStr">
        <is>
          <t>Excluded per AdOps scope</t>
        </is>
      </c>
    </row>
    <row r="11">
      <c r="A11" s="10" t="inlineStr">
        <is>
          <t>Orphan impressions (quarantined)</t>
        </is>
      </c>
      <c r="B11" s="11" t="n">
        <v>164</v>
      </c>
      <c r="C11" s="10" t="inlineStr">
        <is>
          <t>flag</t>
        </is>
      </c>
      <c r="D11" s="10" t="inlineStr">
        <is>
          <t>campaign_id missing from manifest - confirm with AdOps</t>
        </is>
      </c>
    </row>
    <row r="12">
      <c r="A12" s="10" t="inlineStr">
        <is>
          <t>Orphan campaign IDs</t>
        </is>
      </c>
      <c r="B12" s="11" t="n">
        <v>1</v>
      </c>
      <c r="C12" s="10" t="inlineStr">
        <is>
          <t>flag</t>
        </is>
      </c>
      <c r="D12" s="10" t="inlineStr">
        <is>
          <t>Distinct unknown campaign IDs</t>
        </is>
      </c>
    </row>
    <row r="13">
      <c r="A13" s="10" t="inlineStr">
        <is>
          <t>Null player_id rows</t>
        </is>
      </c>
      <c r="B13" s="11" t="n">
        <v>991</v>
      </c>
      <c r="C13" s="10" t="inlineStr">
        <is>
          <t>info</t>
        </is>
      </c>
      <c r="D13" s="10" t="inlineStr">
        <is>
          <t>Counted in impressions, excluded from reach/frequency</t>
        </is>
      </c>
    </row>
    <row r="14"/>
    <row r="15"/>
    <row r="16" ht="30" customHeight="1">
      <c r="A16" s="9" t="inlineStr">
        <is>
          <t>Test</t>
        </is>
      </c>
      <c r="B16" s="9" t="inlineStr">
        <is>
          <t>Severity</t>
        </is>
      </c>
      <c r="C16" s="9" t="inlineStr">
        <is>
          <t>Status</t>
        </is>
      </c>
      <c r="D16" s="9" t="inlineStr">
        <is>
          <t>Failing Rows</t>
        </is>
      </c>
      <c r="E16" s="9" t="inlineStr">
        <is>
          <t>Description</t>
        </is>
      </c>
    </row>
    <row r="17">
      <c r="A17" s="10" t="inlineStr">
        <is>
          <t>test_billable_le_booked</t>
        </is>
      </c>
      <c r="B17" s="10" t="inlineStr">
        <is>
          <t>error</t>
        </is>
      </c>
      <c r="C17" s="10" t="inlineStr">
        <is>
          <t>PASS</t>
        </is>
      </c>
      <c r="D17" s="10" t="n">
        <v>0</v>
      </c>
      <c r="E17" s="10" t="inlineStr">
        <is>
          <t>cumulative billable impressions never exceed the booked goal</t>
        </is>
      </c>
    </row>
    <row r="18">
      <c r="A18" s="10" t="inlineStr">
        <is>
          <t>test_campaign_totals_reconcile</t>
        </is>
      </c>
      <c r="B18" s="10" t="inlineStr">
        <is>
          <t>error</t>
        </is>
      </c>
      <c r="C18" s="10" t="inlineStr">
        <is>
          <t>PASS</t>
        </is>
      </c>
      <c r="D18" s="10" t="n">
        <v>0</v>
      </c>
      <c r="E18" s="10" t="inlineStr">
        <is>
          <t>campaign report total equals paid in-flight impressions for in-scope campaigns (no leakage)</t>
        </is>
      </c>
    </row>
    <row r="19">
      <c r="A19" s="10" t="inlineStr">
        <is>
          <t>test_excluded_lines_not_reported</t>
        </is>
      </c>
      <c r="B19" s="10" t="inlineStr">
        <is>
          <t>error</t>
        </is>
      </c>
      <c r="C19" s="10" t="inlineStr">
        <is>
          <t>PASS</t>
        </is>
      </c>
      <c r="D19" s="10" t="n">
        <v>0</v>
      </c>
      <c r="E19" s="10" t="inlineStr">
        <is>
          <t>campaigns AdOps excluded (or test lines) never appear in the report</t>
        </is>
      </c>
    </row>
    <row r="20">
      <c r="A20" s="10" t="inlineStr">
        <is>
          <t>test_rate_bounds</t>
        </is>
      </c>
      <c r="B20" s="10" t="inlineStr">
        <is>
          <t>error</t>
        </is>
      </c>
      <c r="C20" s="10" t="inlineStr">
        <is>
          <t>PASS</t>
        </is>
      </c>
      <c r="D20" s="10" t="n">
        <v>0</v>
      </c>
      <c r="E20" s="10" t="inlineStr">
        <is>
          <t>all rates fall within [0, 1]</t>
        </is>
      </c>
    </row>
    <row r="21">
      <c r="A21" s="10" t="inlineStr">
        <is>
          <t>test_reach_le_impressions</t>
        </is>
      </c>
      <c r="B21" s="10" t="inlineStr">
        <is>
          <t>error</t>
        </is>
      </c>
      <c r="C21" s="10" t="inlineStr">
        <is>
          <t>PASS</t>
        </is>
      </c>
      <c r="D21" s="10" t="n">
        <v>0</v>
      </c>
      <c r="E21" s="10" t="inlineStr">
        <is>
          <t>unique reach can never exceed impressions</t>
        </is>
      </c>
    </row>
    <row r="22">
      <c r="A22" s="10" t="inlineStr">
        <is>
          <t>test_scope_campaigns_reported</t>
        </is>
      </c>
      <c r="B22" s="10" t="inlineStr">
        <is>
          <t>error</t>
        </is>
      </c>
      <c r="C22" s="10" t="inlineStr">
        <is>
          <t>PASS</t>
        </is>
      </c>
      <c r="D22" s="10" t="n">
        <v>0</v>
      </c>
      <c r="E22" s="10" t="inlineStr">
        <is>
          <t>every campaign AdOps marked include=Y appears in the campaign report</t>
        </is>
      </c>
    </row>
    <row r="23">
      <c r="A23" s="10" t="inlineStr">
        <is>
          <t>test_title_totals_reconcile</t>
        </is>
      </c>
      <c r="B23" s="10" t="inlineStr">
        <is>
          <t>error</t>
        </is>
      </c>
      <c r="C23" s="10" t="inlineStr">
        <is>
          <t>PASS</t>
        </is>
      </c>
      <c r="D23" s="10" t="n">
        <v>0</v>
      </c>
      <c r="E23" s="10" t="inlineStr">
        <is>
          <t>title-level paid impressions equal the sum of placement-level paid impressions</t>
        </is>
      </c>
    </row>
    <row r="24">
      <c r="A24" s="10" t="inlineStr">
        <is>
          <t>test_unique_impression_id</t>
        </is>
      </c>
      <c r="B24" s="10" t="inlineStr">
        <is>
          <t>error</t>
        </is>
      </c>
      <c r="C24" s="10" t="inlineStr">
        <is>
          <t>PASS</t>
        </is>
      </c>
      <c r="D24" s="10" t="n">
        <v>0</v>
      </c>
      <c r="E24" s="10" t="inlineStr">
        <is>
          <t>stg_impressions must have exactly one row per impression_id</t>
        </is>
      </c>
    </row>
    <row r="25">
      <c r="A25" s="10" t="inlineStr">
        <is>
          <t>test_viewable_le_impressions</t>
        </is>
      </c>
      <c r="B25" s="10" t="inlineStr">
        <is>
          <t>error</t>
        </is>
      </c>
      <c r="C25" s="10" t="inlineStr">
        <is>
          <t>PASS</t>
        </is>
      </c>
      <c r="D25" s="10" t="n">
        <v>0</v>
      </c>
      <c r="E25" s="10" t="inlineStr">
        <is>
          <t>viewable impressions can never exceed impressions</t>
        </is>
      </c>
    </row>
    <row r="26">
      <c r="A26" s="10" t="inlineStr">
        <is>
          <t>warn_orphan_campaigns</t>
        </is>
      </c>
      <c r="B26" s="10" t="inlineStr">
        <is>
          <t>warn</t>
        </is>
      </c>
      <c r="C26" s="10" t="inlineStr">
        <is>
          <t>WARN</t>
        </is>
      </c>
      <c r="D26" s="10" t="n">
        <v>1</v>
      </c>
      <c r="E26" s="10" t="inlineStr">
        <is>
          <t>telemetry references campaign IDs missing from the AdOps manifest</t>
        </is>
      </c>
    </row>
    <row r="27">
      <c r="A27" s="10" t="inlineStr">
        <is>
          <t>warn_out_of_flight</t>
        </is>
      </c>
      <c r="B27" s="10" t="inlineStr">
        <is>
          <t>warn</t>
        </is>
      </c>
      <c r="C27" s="10" t="inlineStr">
        <is>
          <t>PASS</t>
        </is>
      </c>
      <c r="D27" s="10" t="n">
        <v>0</v>
      </c>
      <c r="E27" s="10" t="inlineStr">
        <is>
          <t>impressions served outside the booked flight window</t>
        </is>
      </c>
    </row>
    <row r="28">
      <c r="A28" s="10" t="inlineStr">
        <is>
          <t>warn_pacing</t>
        </is>
      </c>
      <c r="B28" s="10" t="inlineStr">
        <is>
          <t>warn</t>
        </is>
      </c>
      <c r="C28" s="10" t="inlineStr">
        <is>
          <t>WARN</t>
        </is>
      </c>
      <c r="D28" s="10" t="n">
        <v>4</v>
      </c>
      <c r="E28" s="10" t="inlineStr">
        <is>
          <t>campaigns pacing more than 10% off goal (flight-to-date)</t>
        </is>
      </c>
    </row>
    <row r="29">
      <c r="A29" s="10" t="inlineStr">
        <is>
          <t>warn_source_discrepancy</t>
        </is>
      </c>
      <c r="B29" s="10" t="inlineStr">
        <is>
          <t>warn</t>
        </is>
      </c>
      <c r="C29" s="10" t="inlineStr">
        <is>
          <t>WARN</t>
        </is>
      </c>
      <c r="D29" s="10" t="n">
        <v>2</v>
      </c>
      <c r="E29" s="10" t="inlineStr">
        <is>
          <t>telemetry vs ad-server fill differs by more than 2% (beacon loss or double-firing)</t>
        </is>
      </c>
    </row>
    <row r="30">
      <c r="A30" s="10" t="inlineStr">
        <is>
          <t>warn_zero_delivery</t>
        </is>
      </c>
      <c r="B30" s="10" t="inlineStr">
        <is>
          <t>warn</t>
        </is>
      </c>
      <c r="C30" s="10" t="inlineStr">
        <is>
          <t>PASS</t>
        </is>
      </c>
      <c r="D30" s="10" t="n">
        <v>0</v>
      </c>
      <c r="E30" s="10" t="inlineStr">
        <is>
          <t>in-scope campaigns with zero delivery this month (check trafficking with AdOps)</t>
        </is>
      </c>
    </row>
  </sheetData>
  <conditionalFormatting sqref="C17:C30">
    <cfRule type="expression" priority="1" dxfId="2">
      <formula>C17="PASS"</formula>
    </cfRule>
    <cfRule type="expression" priority="2" dxfId="1">
      <formula>C17="WARN"</formula>
    </cfRule>
    <cfRule type="expression" priority="3" dxfId="0">
      <formula>C17="FAIL"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16" customWidth="1" min="3" max="3"/>
    <col width="12" customWidth="1" min="4" max="4"/>
  </cols>
  <sheetData>
    <row r="1">
      <c r="A1" s="1" t="inlineStr">
        <is>
          <t>AdOps Reporting Scope</t>
        </is>
      </c>
    </row>
    <row r="2">
      <c r="A2" s="2" t="inlineStr">
        <is>
          <t>Campaign list agreed with AdOps for August 2026 (config/adops_scope_2026-08.csv).</t>
        </is>
      </c>
    </row>
    <row r="3"/>
    <row r="4" ht="30" customHeight="1">
      <c r="A4" s="9" t="inlineStr">
        <is>
          <t>Campaign Id</t>
        </is>
      </c>
      <c r="B4" s="9" t="inlineStr">
        <is>
          <t>Advertiser</t>
        </is>
      </c>
      <c r="C4" s="9" t="inlineStr">
        <is>
          <t>Include In Report</t>
        </is>
      </c>
      <c r="D4" s="9" t="inlineStr">
        <is>
          <t>Adops Note</t>
        </is>
      </c>
    </row>
    <row r="5">
      <c r="A5" s="10" t="inlineStr">
        <is>
          <t>CMP-26-001</t>
        </is>
      </c>
      <c r="B5" s="10" t="inlineStr">
        <is>
          <t>Voltage Energy</t>
        </is>
      </c>
      <c r="C5" s="10" t="b">
        <v>1</v>
      </c>
      <c r="D5" s="10" t="inlineStr"/>
    </row>
    <row r="6">
      <c r="A6" s="10" t="inlineStr">
        <is>
          <t>CMP-26-002</t>
        </is>
      </c>
      <c r="B6" s="10" t="inlineStr">
        <is>
          <t>Summit Motors</t>
        </is>
      </c>
      <c r="C6" s="10" t="b">
        <v>1</v>
      </c>
      <c r="D6" s="10" t="inlineStr"/>
    </row>
    <row r="7">
      <c r="A7" s="10" t="inlineStr">
        <is>
          <t>CMP-26-005</t>
        </is>
      </c>
      <c r="B7" s="10" t="inlineStr">
        <is>
          <t>Crisp Chips</t>
        </is>
      </c>
      <c r="C7" s="10" t="b">
        <v>1</v>
      </c>
      <c r="D7" s="10" t="inlineStr"/>
    </row>
    <row r="8">
      <c r="A8" s="10" t="inlineStr">
        <is>
          <t>CMP-26-006</t>
        </is>
      </c>
      <c r="B8" s="10" t="inlineStr">
        <is>
          <t>Ironclad Insurance</t>
        </is>
      </c>
      <c r="C8" s="10" t="b">
        <v>1</v>
      </c>
      <c r="D8" s="10" t="inlineStr"/>
    </row>
    <row r="9">
      <c r="A9" s="10" t="inlineStr">
        <is>
          <t>CMP-26-010</t>
        </is>
      </c>
      <c r="B9" s="10" t="inlineStr">
        <is>
          <t>Halo Headphones</t>
        </is>
      </c>
      <c r="C9" s="10" t="b">
        <v>1</v>
      </c>
      <c r="D9" s="10" t="inlineStr"/>
    </row>
    <row r="10">
      <c r="A10" s="10" t="inlineStr">
        <is>
          <t>CMP-26-012</t>
        </is>
      </c>
      <c r="B10" s="10" t="inlineStr">
        <is>
          <t>Nimbus Streaming</t>
        </is>
      </c>
      <c r="C10" s="10" t="b">
        <v>1</v>
      </c>
      <c r="D10" s="10" t="inlineStr"/>
    </row>
    <row r="11">
      <c r="A11" s="10" t="inlineStr">
        <is>
          <t>CMP-26-014</t>
        </is>
      </c>
      <c r="B11" s="10" t="inlineStr">
        <is>
          <t>FreshCart Grocery</t>
        </is>
      </c>
      <c r="C11" s="10" t="b">
        <v>1</v>
      </c>
      <c r="D11" s="10" t="inlineStr"/>
    </row>
    <row r="12">
      <c r="A12" s="10" t="inlineStr">
        <is>
          <t>CMP-26-017</t>
        </is>
      </c>
      <c r="B12" s="10" t="inlineStr">
        <is>
          <t>Lumen Bank</t>
        </is>
      </c>
      <c r="C12" s="10" t="b">
        <v>1</v>
      </c>
      <c r="D12" s="1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34" customWidth="1" min="3" max="3"/>
    <col width="60" customWidth="1" min="4" max="4"/>
  </cols>
  <sheetData>
    <row r="1">
      <c r="A1" s="1" t="inlineStr">
        <is>
          <t>KPI Definitions</t>
        </is>
      </c>
    </row>
    <row r="2">
      <c r="A2" s="2" t="inlineStr">
        <is>
          <t>Source: config/kpi_definitions.yml. Every KPI maps to a documented SQL model.</t>
        </is>
      </c>
    </row>
    <row r="4" ht="30" customHeight="1">
      <c r="A4" s="9" t="inlineStr">
        <is>
          <t>Name</t>
        </is>
      </c>
      <c r="B4" s="9" t="inlineStr">
        <is>
          <t>Formula</t>
        </is>
      </c>
      <c r="C4" s="9" t="inlineStr">
        <is>
          <t>Source</t>
        </is>
      </c>
      <c r="D4" s="9" t="inlineStr">
        <is>
          <t>Notes</t>
        </is>
      </c>
    </row>
    <row r="5">
      <c r="A5" s="20" t="inlineStr">
        <is>
          <t>Ad requests (avails)</t>
        </is>
      </c>
      <c r="B5" s="20" t="inlineStr">
        <is>
          <t>count of ad requests logged by the ad server</t>
        </is>
      </c>
      <c r="C5" s="20" t="inlineStr">
        <is>
          <t>stg_ad_requests.ad_requests</t>
        </is>
      </c>
      <c r="D5" s="20" t="inlineStr">
        <is>
          <t>Proxy for available inventory. Requests that never render are not avails.</t>
        </is>
      </c>
    </row>
    <row r="6">
      <c r="A6" s="20" t="inlineStr">
        <is>
          <t>Fill rate</t>
        </is>
      </c>
      <c r="B6" s="20" t="inlineStr">
        <is>
          <t>ad_server_filled / ad_requests</t>
        </is>
      </c>
      <c r="C6" s="20" t="inlineStr">
        <is>
          <t>mart_placement_monthly, mart_title_monthly</t>
        </is>
      </c>
      <c r="D6" s="20" t="inlineStr">
        <is>
          <t>Includes house fills. Ad-server count, not client telemetry.</t>
        </is>
      </c>
    </row>
    <row r="7">
      <c r="A7" s="20" t="inlineStr">
        <is>
          <t>Paid impressions</t>
        </is>
      </c>
      <c r="B7" s="20" t="inlineStr">
        <is>
          <t>count of de-duplicated impressions where impression_class = 'paid_in_flight'</t>
        </is>
      </c>
      <c r="C7" s="20" t="inlineStr">
        <is>
          <t>int_impressions_classified</t>
        </is>
      </c>
      <c r="D7" s="20" t="inlineStr">
        <is>
          <t>Excludes house, test, orphan and out-of-flight impressions.</t>
        </is>
      </c>
    </row>
    <row r="8">
      <c r="A8" s="20" t="inlineStr">
        <is>
          <t>Sell-through rate</t>
        </is>
      </c>
      <c r="B8" s="20" t="inlineStr">
        <is>
          <t>paid_impressions / ad_requests</t>
        </is>
      </c>
      <c r="C8" s="20" t="inlineStr">
        <is>
          <t>mart_placement_monthly, mart_title_monthly</t>
        </is>
      </c>
      <c r="D8" s="20" t="inlineStr">
        <is>
          <t>Share of avails sold to paying advertisers.</t>
        </is>
      </c>
    </row>
    <row r="9">
      <c r="A9" s="20" t="inlineStr">
        <is>
          <t>Viewable impressions</t>
        </is>
      </c>
      <c r="B9" s="20" t="inlineStr">
        <is>
          <t>display: pct_in_view &gt;= 50 AND in_view_ms &gt;= 1000; video: pct_in_view &gt;= 50 AND in_view_ms &gt;= 2000</t>
        </is>
      </c>
      <c r="C9" s="20" t="inlineStr">
        <is>
          <t>stg_impressions.is_viewable</t>
        </is>
      </c>
      <c r="D9" s="20" t="inlineStr">
        <is>
          <t>MRC viewability standard applied to in-game client measurement.</t>
        </is>
      </c>
    </row>
    <row r="10">
      <c r="A10" s="20" t="inlineStr">
        <is>
          <t>Viewability rate</t>
        </is>
      </c>
      <c r="B10" s="20" t="inlineStr">
        <is>
          <t>viewable_impressions / paid_impressions</t>
        </is>
      </c>
      <c r="C10" s="20" t="inlineStr">
        <is>
          <t>marts</t>
        </is>
      </c>
      <c r="D10" s="20" t="inlineStr">
        <is>
          <t>All impressions are measured in-client, so measured rate = 100%.</t>
        </is>
      </c>
    </row>
    <row r="11">
      <c r="A11" s="20" t="inlineStr">
        <is>
          <t>Unique reach</t>
        </is>
      </c>
      <c r="B11" s="20" t="inlineStr">
        <is>
          <t>count(distinct player_id) over the reporting month</t>
        </is>
      </c>
      <c r="C11" s="20" t="inlineStr">
        <is>
          <t>marts</t>
        </is>
      </c>
      <c r="D11" s="20" t="inlineStr">
        <is>
          <t>Exact distinct count, not additive across titles or months. Null player_id rows excluded.</t>
        </is>
      </c>
    </row>
    <row r="12">
      <c r="A12" s="20" t="inlineStr">
        <is>
          <t>Average frequency</t>
        </is>
      </c>
      <c r="B12" s="20" t="inlineStr">
        <is>
          <t>impressions_with_player / unique_reach</t>
        </is>
      </c>
      <c r="C12" s="20" t="inlineStr">
        <is>
          <t>marts</t>
        </is>
      </c>
      <c r="D12" s="20" t="inlineStr">
        <is>
          <t>Numerator excludes null player_id rows so the ratio is consistent.</t>
        </is>
      </c>
    </row>
    <row r="13">
      <c r="A13" s="20" t="inlineStr">
        <is>
          <t>Video completion rate (VCR)</t>
        </is>
      </c>
      <c r="B13" s="20" t="inlineStr">
        <is>
          <t>video_completes / video_starts, complete = video_played_ms &gt;= video_duration_ms</t>
        </is>
      </c>
      <c r="C13" s="20" t="inlineStr">
        <is>
          <t>mart_campaign_monthly, mart_placement_monthly</t>
        </is>
      </c>
      <c r="D13" s="20" t="inlineStr">
        <is>
          <t>Quartile flags (25/50/75%) available in stg_impressions.</t>
        </is>
      </c>
    </row>
    <row r="14">
      <c r="A14" s="20" t="inlineStr">
        <is>
          <t>Expected impressions (month)</t>
        </is>
      </c>
      <c r="B14" s="20" t="inlineStr">
        <is>
          <t>booked_impressions * flight_days_in_month / flight_days</t>
        </is>
      </c>
      <c r="C14" s="20" t="inlineStr">
        <is>
          <t>dim_campaign_month</t>
        </is>
      </c>
      <c r="D14" s="20" t="inlineStr">
        <is>
          <t>Straight-line proration. Traffic-weighted proration is a planned enhancement.</t>
        </is>
      </c>
    </row>
    <row r="15">
      <c r="A15" s="20" t="inlineStr">
        <is>
          <t>Delivery % (month)</t>
        </is>
      </c>
      <c r="B15" s="20" t="inlineStr">
        <is>
          <t>impressions / expected_impressions_month</t>
        </is>
      </c>
      <c r="C15" s="20" t="inlineStr">
        <is>
          <t>mart_campaign_monthly</t>
        </is>
      </c>
      <c r="D15" s="20" t="inlineStr">
        <is>
          <t>Month-only view. Use flight-to-date pacing for status.</t>
        </is>
      </c>
    </row>
    <row r="16">
      <c r="A16" s="20" t="inlineStr">
        <is>
          <t>Pacing % (flight-to-date)</t>
        </is>
      </c>
      <c r="B16" s="20" t="inlineStr">
        <is>
          <t>delivered_to_date / (booked_impressions * flight_days_elapsed / flight_days)</t>
        </is>
      </c>
      <c r="C16" s="20" t="inlineStr">
        <is>
          <t>mart_campaign_monthly</t>
        </is>
      </c>
      <c r="D16" s="20" t="inlineStr">
        <is>
          <t>Status: &lt; 90% UNDER-PACING, &gt; 110% OVER-PACING, 0 impressions NO DELIVERY.</t>
        </is>
      </c>
    </row>
    <row r="17">
      <c r="A17" s="20" t="inlineStr">
        <is>
          <t>Billable impressions</t>
        </is>
      </c>
      <c r="B17" s="20" t="inlineStr">
        <is>
          <t>daily impressions capped so running total over the flight never exceeds booked (window function)</t>
        </is>
      </c>
      <c r="C17" s="20" t="inlineStr">
        <is>
          <t>int_campaign_daily.billable_impressions</t>
        </is>
      </c>
      <c r="D17" s="20" t="inlineStr">
        <is>
          <t>Over-delivery is treated as bonus / make-good, not billed.</t>
        </is>
      </c>
    </row>
    <row r="18">
      <c r="A18" s="20" t="inlineStr">
        <is>
          <t>Revenue (USD)</t>
        </is>
      </c>
      <c r="B18" s="20" t="inlineStr">
        <is>
          <t>billable_impressions / 1000 * cpm_usd</t>
        </is>
      </c>
      <c r="C18" s="20" t="inlineStr">
        <is>
          <t>mart_campaign_monthly, mart_title_monthly</t>
        </is>
      </c>
      <c r="D18" s="20" t="inlineStr">
        <is>
          <t>Recognized on billable delivery in the month.</t>
        </is>
      </c>
    </row>
    <row r="19">
      <c r="A19" s="20" t="inlineStr">
        <is>
          <t>eCPM (USD)</t>
        </is>
      </c>
      <c r="B19" s="20" t="inlineStr">
        <is>
          <t>revenue_usd / paid_impressions * 1000</t>
        </is>
      </c>
      <c r="C19" s="20" t="inlineStr">
        <is>
          <t>mart_title_monthly</t>
        </is>
      </c>
      <c r="D19" s="20" t="inlineStr">
        <is>
          <t>Effective yield per thousand paid impressions, after capping.</t>
        </is>
      </c>
    </row>
    <row r="20">
      <c r="A20" s="20" t="inlineStr">
        <is>
          <t>Telemetry vs ad-server discrepancy</t>
        </is>
      </c>
      <c r="B20" s="20" t="inlineStr">
        <is>
          <t>(telemetry_impressions - ad_server_filled) / ad_server_filled</t>
        </is>
      </c>
      <c r="C20" s="20" t="inlineStr">
        <is>
          <t>mart_placement_monthly</t>
        </is>
      </c>
      <c r="D20" s="20" t="inlineStr">
        <is>
          <t>&gt; 2% absolute flagged. Negative = client beacons lost; positive = double-firing.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2026-10-20T03:53:36Z</dcterms:created>
  <dcterms:modified xsi:type="dcterms:W3CDTF">2026-10-20T03:53:36Z</dcterms:modified>
</cp:coreProperties>
</file>