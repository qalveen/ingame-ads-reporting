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tle KPIs" sheetId="2" state="visible" r:id="rId2"/>
    <sheet name="Campaign Detail" sheetId="3" state="visible" r:id="rId3"/>
    <sheet name="Placement Detail" sheetId="4" state="visible" r:id="rId4"/>
    <sheet name="Frequency" sheetId="5" state="visible" r:id="rId5"/>
    <sheet name="Daily Trend" sheetId="6" state="visible" r:id="rId6"/>
    <sheet name="Data Quality" sheetId="7" state="visible" r:id="rId7"/>
    <sheet name="AdOps Scope" sheetId="8" state="visible" r:id="rId8"/>
    <sheet name="Definitions" sheetId="9" state="visible" r:id="rId9"/>
  </sheets>
  <definedNames>
    <definedName name="_xlnm._FilterDatabase" localSheetId="2" hidden="1">'Campaign Detail'!$A$4:$Z$21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$#,##0.00"/>
    <numFmt numFmtId="166" formatCode="#,##0;(#,##0);-"/>
    <numFmt numFmtId="167" formatCode="0.0%;(0.0%);-"/>
    <numFmt numFmtId="168" formatCode="$#,##0.00;($#,##0.00);-"/>
    <numFmt numFmtId="169" formatCode="+0.0%;-0.0%;-"/>
    <numFmt numFmtId="170" formatCode="yyyy-mm-dd h:mm:ss"/>
    <numFmt numFmtId="171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F6B7A"/>
      <sz val="10"/>
    </font>
    <font>
      <name val="Arial"/>
      <color rgb="005F6B7A"/>
      <sz val="9"/>
    </font>
    <font>
      <name val="Arial"/>
      <b val="1"/>
      <color rgb="001F2A44"/>
      <sz val="15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2" fontId="6" fillId="0" borderId="1" pivotButton="0" quotePrefix="0" xfId="0"/>
    <xf numFmtId="168" fontId="6" fillId="0" borderId="1" pivotButton="0" quotePrefix="0" xfId="0"/>
    <xf numFmtId="169" fontId="6" fillId="0" borderId="1" pivotButton="0" quotePrefix="0" xfId="0"/>
    <xf numFmtId="171" fontId="6" fillId="0" borderId="1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7"/>
        </patternFill>
      </fill>
    </dxf>
    <dxf>
      <fill>
        <patternFill patternType="solid">
          <fgColor rgb="00FCEBC8"/>
        </patternFill>
      </fill>
    </dxf>
    <dxf>
      <fill>
        <patternFill patternType="solid">
          <fgColor rgb="00D8EFDF"/>
        </patternFill>
      </fill>
    </dxf>
    <dxf>
      <fill>
        <patternFill patternType="solid">
          <fgColor rgb="00ECEF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857250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8572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Ads &amp; Sponsorships Inventory Report — September 2026</t>
        </is>
      </c>
    </row>
    <row r="2">
      <c r="A2" s="2" t="inlineStr">
        <is>
          <t>Custom in-game inventory, AdOps-approved scope (17 campaigns). Generated 2026-10-19 20:55. Synthetic portfolio data.</t>
        </is>
      </c>
    </row>
    <row r="3"/>
    <row r="4">
      <c r="A4" s="3" t="inlineStr">
        <is>
          <t>Ad requests</t>
        </is>
      </c>
      <c r="C4" s="3" t="inlineStr">
        <is>
          <t>Paid impressions</t>
        </is>
      </c>
      <c r="E4" s="3" t="inlineStr">
        <is>
          <t>Sell-through</t>
        </is>
      </c>
      <c r="G4" s="3" t="inlineStr">
        <is>
          <t>Viewability</t>
        </is>
      </c>
      <c r="I4" s="3" t="inlineStr">
        <is>
          <t>Revenue (USD)</t>
        </is>
      </c>
      <c r="K4" s="3" t="inlineStr">
        <is>
          <t>eCPM (USD)</t>
        </is>
      </c>
    </row>
    <row r="5">
      <c r="A5" s="4" t="n">
        <v>727381</v>
      </c>
      <c r="C5" s="4" t="n">
        <v>331168</v>
      </c>
      <c r="E5" s="5" t="n">
        <v>0.4552882189664014</v>
      </c>
      <c r="G5" s="5" t="n">
        <v>0.7773365784133732</v>
      </c>
      <c r="I5" s="6" t="n">
        <v>5052.059999999999</v>
      </c>
      <c r="K5" s="6" t="n">
        <v>15.25527828775727</v>
      </c>
    </row>
    <row r="6"/>
    <row r="7">
      <c r="A7" s="7" t="inlineStr">
        <is>
          <t>Key callouts</t>
        </is>
      </c>
    </row>
    <row r="8" ht="28" customHeight="1">
      <c r="A8" s="8" t="inlineStr">
        <is>
          <t>•  331,168 paid impressions and $5,052 billable revenue across 4 titles; Pitch FC 27 led revenue ($1,585, +196% MoM).</t>
        </is>
      </c>
    </row>
    <row r="9" ht="28" customHeight="1">
      <c r="A9" s="8" t="inlineStr">
        <is>
          <t>•  Below 70% viewability: Lobby billboard (DZL, 69.96%), End-zone branding (GRD, 60.95%), Kit sponsor overlay (PFC, 29.04%), Stadium LED boards (PFC, 68.51%).</t>
        </is>
      </c>
    </row>
    <row r="10" ht="28" customHeight="1">
      <c r="A10" s="8" t="inlineStr">
        <is>
          <t>•  CMP-26-012 Nimbus Streaming under-pacing at 88% flight-to-date (2,487 impressions behind).</t>
        </is>
      </c>
    </row>
    <row r="11" ht="28" customHeight="1">
      <c r="A11" s="8" t="inlineStr">
        <is>
          <t>•  CMP-26-019 Ironclad Insurance: booked 12,000 but no delivery — confirm trafficking with AdOps (Booked; trafficking not confirmed).</t>
        </is>
      </c>
    </row>
    <row r="12" ht="28" customHeight="1">
      <c r="A12" s="8" t="inlineStr">
        <is>
          <t>•  CMP-26-009 Peak Athletic under-pacing at 79% flight-to-date (1,806 impressions behind).</t>
        </is>
      </c>
    </row>
    <row r="13" ht="28" customHeight="1">
      <c r="A13" s="8" t="inlineStr">
        <is>
          <t>•  CMP-26-016 Orbit Wireless under-pacing at 84% flight-to-date (2,197 impressions behind).</t>
        </is>
      </c>
    </row>
    <row r="14" ht="28" customHeight="1">
      <c r="A14" s="8" t="inlineStr">
        <is>
          <t>•  CMP-26-002 Summit Motors under-pacing at 66% flight-to-date (8,000 impressions behind).</t>
        </is>
      </c>
    </row>
    <row r="15" ht="28" customHeight="1">
      <c r="A15" s="8" t="inlineStr">
        <is>
          <t>•  Over-pacing (&gt;110%): CMP-26-013 (115%), CMP-26-006 (116%), CMP-26-008 (116%). Over-delivery is not billed; review frequency caps / goal settings with AdOps.</t>
        </is>
      </c>
    </row>
    <row r="16" ht="28" customHeight="1">
      <c r="A16" s="8" t="inlineStr">
        <is>
          <t>•  New inventory: Sponsored skills challenge (GRD) launched Sep 10; 6,675 paid impressions, 30% sell-through, 98% viewability.</t>
        </is>
      </c>
    </row>
    <row r="17" ht="28" customHeight="1">
      <c r="A17" s="8" t="inlineStr">
        <is>
          <t>•  Data-quality flags: Out-of-flight impressions = 1,169; Orphan impressions (quarantined) = 186; Orphan campaign IDs = 1. Excluded from reported totals; see Data Quality tab.</t>
        </is>
      </c>
    </row>
    <row r="18" ht="28" customHeight="1">
      <c r="A18" s="8" t="inlineStr">
        <is>
          <t>•  9 of 14 automated checks passed; 5 warnings need follow-up, 0 blocking failures.</t>
        </is>
      </c>
    </row>
    <row r="19"/>
    <row r="20">
      <c r="A20" s="7" t="inlineStr">
        <is>
          <t>By title</t>
        </is>
      </c>
    </row>
    <row r="21" ht="30" customHeight="1">
      <c r="A21" s="9" t="inlineStr">
        <is>
          <t>Title</t>
        </is>
      </c>
      <c r="B21" s="9" t="inlineStr">
        <is>
          <t>Ad Requests</t>
        </is>
      </c>
      <c r="C21" s="9" t="inlineStr">
        <is>
          <t>Fill Rate</t>
        </is>
      </c>
      <c r="D21" s="9" t="inlineStr">
        <is>
          <t>Paid Impressions</t>
        </is>
      </c>
      <c r="E21" s="9" t="inlineStr">
        <is>
          <t>Sell Through Rate</t>
        </is>
      </c>
      <c r="F21" s="9" t="inlineStr">
        <is>
          <t>Viewability Rate</t>
        </is>
      </c>
      <c r="G21" s="9" t="inlineStr">
        <is>
          <t>Unique Reach</t>
        </is>
      </c>
      <c r="H21" s="9" t="inlineStr">
        <is>
          <t>Avg Frequency</t>
        </is>
      </c>
      <c r="I21" s="9" t="inlineStr">
        <is>
          <t>Revenue (USD)</t>
        </is>
      </c>
      <c r="J21" s="9" t="inlineStr">
        <is>
          <t>eCPM (USD)</t>
        </is>
      </c>
      <c r="K21" s="9" t="inlineStr">
        <is>
          <t>Paid Imps MoM</t>
        </is>
      </c>
      <c r="L21" s="9" t="inlineStr">
        <is>
          <t>Revenue MoM</t>
        </is>
      </c>
    </row>
    <row r="22">
      <c r="A22" s="10" t="inlineStr">
        <is>
          <t>Dropzone Legends</t>
        </is>
      </c>
      <c r="B22" s="11" t="n">
        <v>166931</v>
      </c>
      <c r="C22" s="12" t="n">
        <v>0.8528973048744691</v>
      </c>
      <c r="D22" s="11" t="n">
        <v>81570</v>
      </c>
      <c r="E22" s="12" t="n">
        <v>0.4886450090157011</v>
      </c>
      <c r="F22" s="12" t="n">
        <v>0.787041804585019</v>
      </c>
      <c r="G22" s="11" t="n">
        <v>35701</v>
      </c>
      <c r="H22" s="13" t="n">
        <v>2.280412313380578</v>
      </c>
      <c r="I22" s="14" t="n">
        <v>1220.6</v>
      </c>
      <c r="J22" s="14" t="n">
        <v>14.96385926198357</v>
      </c>
      <c r="K22" s="15" t="n">
        <v>1.180957728402984</v>
      </c>
      <c r="L22" s="15" t="n">
        <v>1.739965879500763</v>
      </c>
    </row>
    <row r="23">
      <c r="A23" s="10" t="inlineStr">
        <is>
          <t>Gridiron 27</t>
        </is>
      </c>
      <c r="B23" s="11" t="n">
        <v>202892</v>
      </c>
      <c r="C23" s="12" t="n">
        <v>0.8284851053762593</v>
      </c>
      <c r="D23" s="11" t="n">
        <v>80162</v>
      </c>
      <c r="E23" s="12" t="n">
        <v>0.3950968988427341</v>
      </c>
      <c r="F23" s="12" t="n">
        <v>0.8349966318205634</v>
      </c>
      <c r="G23" s="11" t="n">
        <v>27594</v>
      </c>
      <c r="H23" s="13" t="n">
        <v>2.898782343987823</v>
      </c>
      <c r="I23" s="14" t="n">
        <v>1417.66</v>
      </c>
      <c r="J23" s="14" t="n">
        <v>17.68491305107158</v>
      </c>
      <c r="K23" s="15" t="n">
        <v>0.7435997824904839</v>
      </c>
      <c r="L23" s="15" t="n">
        <v>0.4559814312710544</v>
      </c>
    </row>
    <row r="24">
      <c r="A24" s="10" t="inlineStr">
        <is>
          <t>Hometown Life</t>
        </is>
      </c>
      <c r="B24" s="11" t="n">
        <v>135016</v>
      </c>
      <c r="C24" s="12" t="n">
        <v>0.8473736446050838</v>
      </c>
      <c r="D24" s="11" t="n">
        <v>62928</v>
      </c>
      <c r="E24" s="12" t="n">
        <v>0.4660780944480654</v>
      </c>
      <c r="F24" s="12" t="n">
        <v>0.9940566997203153</v>
      </c>
      <c r="G24" s="11" t="n">
        <v>21970</v>
      </c>
      <c r="H24" s="13" t="n">
        <v>2.858033682294038</v>
      </c>
      <c r="I24" s="14" t="n">
        <v>829.1799999999999</v>
      </c>
      <c r="J24" s="14" t="n">
        <v>13.17656687007374</v>
      </c>
      <c r="K24" s="15" t="n">
        <v>0.4452252997106243</v>
      </c>
      <c r="L24" s="15" t="n">
        <v>0.4788300338862135</v>
      </c>
    </row>
    <row r="25">
      <c r="A25" s="10" t="inlineStr">
        <is>
          <t>Pitch FC 27</t>
        </is>
      </c>
      <c r="B25" s="11" t="n">
        <v>222542</v>
      </c>
      <c r="C25" s="12" t="n">
        <v>0.8442091829856836</v>
      </c>
      <c r="D25" s="11" t="n">
        <v>106508</v>
      </c>
      <c r="E25" s="12" t="n">
        <v>0.4785972984874765</v>
      </c>
      <c r="F25" s="12" t="n">
        <v>0.5984620873549404</v>
      </c>
      <c r="G25" s="11" t="n">
        <v>34368</v>
      </c>
      <c r="H25" s="13" t="n">
        <v>3.0924406424581</v>
      </c>
      <c r="I25" s="14" t="n">
        <v>1584.62</v>
      </c>
      <c r="J25" s="14" t="n">
        <v>14.87794344086829</v>
      </c>
      <c r="K25" s="15" t="n">
        <v>1.766585277157255</v>
      </c>
      <c r="L25" s="15" t="n">
        <v>1.960910347920326</v>
      </c>
    </row>
  </sheetData>
  <mergeCells count="11">
    <mergeCell ref="A16:L16"/>
    <mergeCell ref="A15:L15"/>
    <mergeCell ref="A10:L10"/>
    <mergeCell ref="A11:L11"/>
    <mergeCell ref="A13:L13"/>
    <mergeCell ref="A8:L8"/>
    <mergeCell ref="A14:L14"/>
    <mergeCell ref="A17:L17"/>
    <mergeCell ref="A9:L9"/>
    <mergeCell ref="A18:L18"/>
    <mergeCell ref="A12:L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16" customWidth="1" min="11" max="11"/>
    <col width="13" customWidth="1" min="12" max="12"/>
    <col width="12" customWidth="1" min="13" max="13"/>
    <col width="16" customWidth="1" min="14" max="14"/>
    <col width="13" customWidth="1" min="15" max="15"/>
    <col width="16" customWidth="1" min="16" max="16"/>
    <col width="16" customWidth="1" min="17" max="17"/>
  </cols>
  <sheetData>
    <row r="1">
      <c r="A1" s="1" t="inlineStr">
        <is>
          <t>Title KPIs</t>
        </is>
      </c>
    </row>
    <row r="2">
      <c r="A2" s="2" t="inlineStr">
        <is>
          <t>September 2026 vs prior month. MoM rates shown as % change; rate KPIs as point change.</t>
        </is>
      </c>
    </row>
    <row r="3"/>
    <row r="4" ht="30" customHeight="1">
      <c r="A4" s="9" t="inlineStr">
        <is>
          <t>Title Id</t>
        </is>
      </c>
      <c r="B4" s="9" t="inlineStr">
        <is>
          <t>Title Name</t>
        </is>
      </c>
      <c r="C4" s="9" t="inlineStr">
        <is>
          <t>Ad Requests</t>
        </is>
      </c>
      <c r="D4" s="9" t="inlineStr">
        <is>
          <t>Fill Rate</t>
        </is>
      </c>
      <c r="E4" s="9" t="inlineStr">
        <is>
          <t>Paid Impressions</t>
        </is>
      </c>
      <c r="F4" s="9" t="inlineStr">
        <is>
          <t>House Impressions</t>
        </is>
      </c>
      <c r="G4" s="9" t="inlineStr">
        <is>
          <t>Sell Through Rate</t>
        </is>
      </c>
      <c r="H4" s="9" t="inlineStr">
        <is>
          <t>Viewability Rate</t>
        </is>
      </c>
      <c r="I4" s="9" t="inlineStr">
        <is>
          <t>Paid Unique Reach</t>
        </is>
      </c>
      <c r="J4" s="9" t="inlineStr">
        <is>
          <t>Avg Frequency</t>
        </is>
      </c>
      <c r="K4" s="9" t="inlineStr">
        <is>
          <t>Live Campaigns</t>
        </is>
      </c>
      <c r="L4" s="9" t="inlineStr">
        <is>
          <t>Revenue Usd</t>
        </is>
      </c>
      <c r="M4" s="9" t="inlineStr">
        <is>
          <t>Ecpm Usd</t>
        </is>
      </c>
      <c r="N4" s="9" t="inlineStr">
        <is>
          <t>Paid Impressions Mom</t>
        </is>
      </c>
      <c r="O4" s="9" t="inlineStr">
        <is>
          <t>Revenue Mom</t>
        </is>
      </c>
      <c r="P4" s="9" t="inlineStr">
        <is>
          <t>Viewability Mom Pts</t>
        </is>
      </c>
      <c r="Q4" s="9" t="inlineStr">
        <is>
          <t>Sell Through Mom Pts</t>
        </is>
      </c>
    </row>
    <row r="5">
      <c r="A5" s="10" t="inlineStr">
        <is>
          <t>DZL</t>
        </is>
      </c>
      <c r="B5" s="10" t="inlineStr">
        <is>
          <t>Dropzone Legends</t>
        </is>
      </c>
      <c r="C5" s="11" t="n">
        <v>166931</v>
      </c>
      <c r="D5" s="12" t="n">
        <v>0.8528973048744691</v>
      </c>
      <c r="E5" s="11" t="n">
        <v>81570</v>
      </c>
      <c r="F5" s="11" t="n">
        <v>59942</v>
      </c>
      <c r="G5" s="12" t="n">
        <v>0.4886450090157011</v>
      </c>
      <c r="H5" s="12" t="n">
        <v>0.787041804585019</v>
      </c>
      <c r="I5" s="11" t="n">
        <v>35701</v>
      </c>
      <c r="J5" s="13" t="n">
        <v>2.280412313380578</v>
      </c>
      <c r="K5" s="11" t="n">
        <v>3</v>
      </c>
      <c r="L5" s="14" t="n">
        <v>1220.6</v>
      </c>
      <c r="M5" s="14" t="n">
        <v>14.96385926198357</v>
      </c>
      <c r="N5" s="15" t="n">
        <v>1.180957728402984</v>
      </c>
      <c r="O5" s="15" t="n">
        <v>1.739965879500763</v>
      </c>
      <c r="P5" s="15" t="n">
        <v>0.05035027227304878</v>
      </c>
      <c r="Q5" s="15" t="n">
        <v>0.2675780050436942</v>
      </c>
    </row>
    <row r="6">
      <c r="A6" s="10" t="inlineStr">
        <is>
          <t>GRD</t>
        </is>
      </c>
      <c r="B6" s="10" t="inlineStr">
        <is>
          <t>Gridiron 27</t>
        </is>
      </c>
      <c r="C6" s="11" t="n">
        <v>202892</v>
      </c>
      <c r="D6" s="12" t="n">
        <v>0.8284851053762593</v>
      </c>
      <c r="E6" s="11" t="n">
        <v>80162</v>
      </c>
      <c r="F6" s="11" t="n">
        <v>86921</v>
      </c>
      <c r="G6" s="12" t="n">
        <v>0.3950968988427341</v>
      </c>
      <c r="H6" s="12" t="n">
        <v>0.8349966318205634</v>
      </c>
      <c r="I6" s="11" t="n">
        <v>27594</v>
      </c>
      <c r="J6" s="13" t="n">
        <v>2.898782343987823</v>
      </c>
      <c r="K6" s="11" t="n">
        <v>5</v>
      </c>
      <c r="L6" s="14" t="n">
        <v>1417.66</v>
      </c>
      <c r="M6" s="14" t="n">
        <v>17.68491305107158</v>
      </c>
      <c r="N6" s="15" t="n">
        <v>0.7435997824904839</v>
      </c>
      <c r="O6" s="15" t="n">
        <v>0.4559814312710544</v>
      </c>
      <c r="P6" s="15" t="n">
        <v>0.06625274927570202</v>
      </c>
      <c r="Q6" s="15" t="n">
        <v>0.165102301652195</v>
      </c>
    </row>
    <row r="7">
      <c r="A7" s="10" t="inlineStr">
        <is>
          <t>HTL</t>
        </is>
      </c>
      <c r="B7" s="10" t="inlineStr">
        <is>
          <t>Hometown Life</t>
        </is>
      </c>
      <c r="C7" s="11" t="n">
        <v>135016</v>
      </c>
      <c r="D7" s="12" t="n">
        <v>0.8473736446050838</v>
      </c>
      <c r="E7" s="11" t="n">
        <v>62928</v>
      </c>
      <c r="F7" s="11" t="n">
        <v>48109</v>
      </c>
      <c r="G7" s="12" t="n">
        <v>0.4660780944480654</v>
      </c>
      <c r="H7" s="12" t="n">
        <v>0.9940566997203153</v>
      </c>
      <c r="I7" s="11" t="n">
        <v>21970</v>
      </c>
      <c r="J7" s="13" t="n">
        <v>2.858033682294038</v>
      </c>
      <c r="K7" s="11" t="n">
        <v>3</v>
      </c>
      <c r="L7" s="14" t="n">
        <v>829.1799999999999</v>
      </c>
      <c r="M7" s="14" t="n">
        <v>13.17656687007374</v>
      </c>
      <c r="N7" s="15" t="n">
        <v>0.4452252997106243</v>
      </c>
      <c r="O7" s="15" t="n">
        <v>0.4788300338862135</v>
      </c>
      <c r="P7" s="15" t="n">
        <v>9.684486752947752e-05</v>
      </c>
      <c r="Q7" s="15" t="n">
        <v>0.1238958990501024</v>
      </c>
    </row>
    <row r="8">
      <c r="A8" s="10" t="inlineStr">
        <is>
          <t>PFC</t>
        </is>
      </c>
      <c r="B8" s="10" t="inlineStr">
        <is>
          <t>Pitch FC 27</t>
        </is>
      </c>
      <c r="C8" s="11" t="n">
        <v>222542</v>
      </c>
      <c r="D8" s="12" t="n">
        <v>0.8442091829856836</v>
      </c>
      <c r="E8" s="11" t="n">
        <v>106508</v>
      </c>
      <c r="F8" s="11" t="n">
        <v>75682</v>
      </c>
      <c r="G8" s="12" t="n">
        <v>0.4785972984874765</v>
      </c>
      <c r="H8" s="12" t="n">
        <v>0.5984620873549404</v>
      </c>
      <c r="I8" s="11" t="n">
        <v>34368</v>
      </c>
      <c r="J8" s="13" t="n">
        <v>3.0924406424581</v>
      </c>
      <c r="K8" s="11" t="n">
        <v>5</v>
      </c>
      <c r="L8" s="14" t="n">
        <v>1584.62</v>
      </c>
      <c r="M8" s="14" t="n">
        <v>14.87794344086829</v>
      </c>
      <c r="N8" s="15" t="n">
        <v>1.766585277157255</v>
      </c>
      <c r="O8" s="15" t="n">
        <v>1.960910347920326</v>
      </c>
      <c r="P8" s="15" t="n">
        <v>0.004301351732310721</v>
      </c>
      <c r="Q8" s="15" t="n">
        <v>0.2440993329391491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0" customWidth="1" min="4" max="4"/>
    <col width="33" customWidth="1" min="5" max="5"/>
    <col width="25" customWidth="1" min="6" max="6"/>
    <col width="21" customWidth="1" min="7" max="7"/>
    <col width="21" customWidth="1" min="8" max="8"/>
    <col width="16" customWidth="1" min="9" max="9"/>
    <col width="16" customWidth="1" min="10" max="10"/>
    <col width="14" customWidth="1" min="11" max="11"/>
    <col width="21" customWidth="1" min="12" max="12"/>
    <col width="16" customWidth="1" min="13" max="13"/>
    <col width="16" customWidth="1" min="14" max="14"/>
    <col width="16" customWidth="1" min="15" max="15"/>
    <col width="15" customWidth="1" min="16" max="16"/>
    <col width="16" customWidth="1" min="17" max="17"/>
    <col width="21" customWidth="1" min="18" max="18"/>
    <col width="14" customWidth="1" min="19" max="19"/>
    <col width="15" customWidth="1" min="20" max="20"/>
    <col width="14" customWidth="1" min="21" max="21"/>
    <col width="16" customWidth="1" min="22" max="22"/>
    <col width="16" customWidth="1" min="23" max="23"/>
    <col width="12" customWidth="1" min="24" max="24"/>
    <col width="15" customWidth="1" min="25" max="25"/>
    <col width="37" customWidth="1" min="26" max="26"/>
  </cols>
  <sheetData>
    <row r="1">
      <c r="A1" s="1" t="inlineStr">
        <is>
          <t>Campaign Detail</t>
        </is>
      </c>
    </row>
    <row r="2">
      <c r="A2" s="2" t="inlineStr">
        <is>
          <t>In-scope campaigns only. Pacing status uses flight-to-date delivery vs straight-line goal.</t>
        </is>
      </c>
    </row>
    <row r="3"/>
    <row r="4" ht="30" customHeight="1">
      <c r="A4" s="9" t="inlineStr">
        <is>
          <t>Campaign ID</t>
        </is>
      </c>
      <c r="B4" s="9" t="inlineStr">
        <is>
          <t>Advertiser</t>
        </is>
      </c>
      <c r="C4" s="9" t="inlineStr">
        <is>
          <t>Vertical</t>
        </is>
      </c>
      <c r="D4" s="9" t="inlineStr">
        <is>
          <t>Title Id</t>
        </is>
      </c>
      <c r="E4" s="9" t="inlineStr">
        <is>
          <t>Placement Ids</t>
        </is>
      </c>
      <c r="F4" s="9" t="inlineStr">
        <is>
          <t>Sold By</t>
        </is>
      </c>
      <c r="G4" s="9" t="inlineStr">
        <is>
          <t>Flight Start</t>
        </is>
      </c>
      <c r="H4" s="9" t="inlineStr">
        <is>
          <t>Flight End</t>
        </is>
      </c>
      <c r="I4" s="9" t="inlineStr">
        <is>
          <t>Booked Impressions</t>
        </is>
      </c>
      <c r="J4" s="9" t="inlineStr">
        <is>
          <t>Expected Impressions Month</t>
        </is>
      </c>
      <c r="K4" s="9" t="inlineStr">
        <is>
          <t>Impressions</t>
        </is>
      </c>
      <c r="L4" s="9" t="inlineStr">
        <is>
          <t>Delivery Pct Month</t>
        </is>
      </c>
      <c r="M4" s="9" t="inlineStr">
        <is>
          <t>Delivered To Date</t>
        </is>
      </c>
      <c r="N4" s="9" t="inlineStr">
        <is>
          <t>Expected Impressions To Date</t>
        </is>
      </c>
      <c r="O4" s="9" t="inlineStr">
        <is>
          <t>Pacing Pct To Date</t>
        </is>
      </c>
      <c r="P4" s="9" t="inlineStr">
        <is>
          <t>Pacing Status</t>
        </is>
      </c>
      <c r="Q4" s="9" t="inlineStr">
        <is>
          <t>Viewable Impressions</t>
        </is>
      </c>
      <c r="R4" s="9" t="inlineStr">
        <is>
          <t>Viewability Rate</t>
        </is>
      </c>
      <c r="S4" s="9" t="inlineStr">
        <is>
          <t>Unique Reach</t>
        </is>
      </c>
      <c r="T4" s="9" t="inlineStr">
        <is>
          <t>Avg Frequency</t>
        </is>
      </c>
      <c r="U4" s="9" t="inlineStr">
        <is>
          <t>Video Starts</t>
        </is>
      </c>
      <c r="V4" s="9" t="inlineStr">
        <is>
          <t>Video Completion Rate</t>
        </is>
      </c>
      <c r="W4" s="9" t="inlineStr">
        <is>
          <t>Billable Impressions</t>
        </is>
      </c>
      <c r="X4" s="9" t="inlineStr">
        <is>
          <t>CPM (USD)</t>
        </is>
      </c>
      <c r="Y4" s="9" t="inlineStr">
        <is>
          <t>Revenue (USD)</t>
        </is>
      </c>
      <c r="Z4" s="9" t="inlineStr">
        <is>
          <t>AdOps Note</t>
        </is>
      </c>
    </row>
    <row r="5">
      <c r="A5" s="10" t="inlineStr">
        <is>
          <t>CMP-26-011</t>
        </is>
      </c>
      <c r="B5" s="10" t="inlineStr">
        <is>
          <t>Voltage Energy</t>
        </is>
      </c>
      <c r="C5" s="10" t="inlineStr">
        <is>
          <t>beverage</t>
        </is>
      </c>
      <c r="D5" s="10" t="inlineStr">
        <is>
          <t>DZL</t>
        </is>
      </c>
      <c r="E5" s="10" t="inlineStr">
        <is>
          <t>DZL-LOBBY-BILL|DZL-LOADING-VID</t>
        </is>
      </c>
      <c r="F5" s="10" t="inlineStr">
        <is>
          <t>Direct</t>
        </is>
      </c>
      <c r="G5" s="16" t="n">
        <v>46266</v>
      </c>
      <c r="H5" s="16" t="n">
        <v>46295</v>
      </c>
      <c r="I5" s="11" t="n">
        <v>50000</v>
      </c>
      <c r="J5" s="11" t="n">
        <v>50000</v>
      </c>
      <c r="K5" s="11" t="n">
        <v>51881</v>
      </c>
      <c r="L5" s="12" t="n">
        <v>1.03762</v>
      </c>
      <c r="M5" s="11" t="n">
        <v>51881</v>
      </c>
      <c r="N5" s="11" t="n">
        <v>50000</v>
      </c>
      <c r="O5" s="12" t="n">
        <v>1.03762</v>
      </c>
      <c r="P5" s="10" t="inlineStr">
        <is>
          <t>ON PACE</t>
        </is>
      </c>
      <c r="Q5" s="11" t="n">
        <v>40419</v>
      </c>
      <c r="R5" s="12" t="n">
        <v>0.7790713363273646</v>
      </c>
      <c r="S5" s="11" t="n">
        <v>27702</v>
      </c>
      <c r="T5" s="13" t="n">
        <v>1.869179120641109</v>
      </c>
      <c r="U5" s="11" t="n">
        <v>17644</v>
      </c>
      <c r="V5" s="12" t="n">
        <v>0.4748356381772841</v>
      </c>
      <c r="W5" s="11" t="n">
        <v>50000</v>
      </c>
      <c r="X5" s="14" t="n">
        <v>15</v>
      </c>
      <c r="Y5" s="14" t="n">
        <v>750</v>
      </c>
      <c r="Z5" s="10" t="inlineStr"/>
    </row>
    <row r="6">
      <c r="A6" s="10" t="inlineStr">
        <is>
          <t>CMP-26-012</t>
        </is>
      </c>
      <c r="B6" s="10" t="inlineStr">
        <is>
          <t>Nimbus Streaming</t>
        </is>
      </c>
      <c r="C6" s="10" t="inlineStr">
        <is>
          <t>media</t>
        </is>
      </c>
      <c r="D6" s="10" t="inlineStr">
        <is>
          <t>DZL</t>
        </is>
      </c>
      <c r="E6" s="10" t="inlineStr">
        <is>
          <t>DZL-LOADING-VID</t>
        </is>
      </c>
      <c r="F6" s="10" t="inlineStr">
        <is>
          <t>Programmatic Guaranteed</t>
        </is>
      </c>
      <c r="G6" s="16" t="n">
        <v>46254</v>
      </c>
      <c r="H6" s="16" t="n">
        <v>46290</v>
      </c>
      <c r="I6" s="11" t="n">
        <v>20000</v>
      </c>
      <c r="J6" s="11" t="n">
        <v>13514</v>
      </c>
      <c r="K6" s="11" t="n">
        <v>12408</v>
      </c>
      <c r="L6" s="12" t="n">
        <v>0.918192</v>
      </c>
      <c r="M6" s="11" t="n">
        <v>17513</v>
      </c>
      <c r="N6" s="11" t="n">
        <v>20000</v>
      </c>
      <c r="O6" s="12" t="n">
        <v>0.87565</v>
      </c>
      <c r="P6" s="10" t="inlineStr">
        <is>
          <t>UNDER-PACING</t>
        </is>
      </c>
      <c r="Q6" s="11" t="n">
        <v>11651</v>
      </c>
      <c r="R6" s="12" t="n">
        <v>0.9389909735654417</v>
      </c>
      <c r="S6" s="11" t="n">
        <v>9807</v>
      </c>
      <c r="T6" s="13" t="n">
        <v>1.262363617824003</v>
      </c>
      <c r="U6" s="11" t="n">
        <v>12408</v>
      </c>
      <c r="V6" s="12" t="n">
        <v>0.477675693101225</v>
      </c>
      <c r="W6" s="11" t="n">
        <v>12408</v>
      </c>
      <c r="X6" s="14" t="n">
        <v>24</v>
      </c>
      <c r="Y6" s="14" t="n">
        <v>297.79</v>
      </c>
      <c r="Z6" s="10" t="inlineStr"/>
    </row>
    <row r="7">
      <c r="A7" s="10" t="inlineStr">
        <is>
          <t>CMP-26-013</t>
        </is>
      </c>
      <c r="B7" s="10" t="inlineStr">
        <is>
          <t>Lumen Bank</t>
        </is>
      </c>
      <c r="C7" s="10" t="inlineStr">
        <is>
          <t>finance</t>
        </is>
      </c>
      <c r="D7" s="10" t="inlineStr">
        <is>
          <t>DZL</t>
        </is>
      </c>
      <c r="E7" s="10" t="inlineStr">
        <is>
          <t>DZL-LOBBY-BILL</t>
        </is>
      </c>
      <c r="F7" s="10" t="inlineStr">
        <is>
          <t>Direct</t>
        </is>
      </c>
      <c r="G7" s="16" t="n">
        <v>46280</v>
      </c>
      <c r="H7" s="16" t="n">
        <v>46310</v>
      </c>
      <c r="I7" s="11" t="n">
        <v>29000</v>
      </c>
      <c r="J7" s="11" t="n">
        <v>14968</v>
      </c>
      <c r="K7" s="11" t="n">
        <v>17281</v>
      </c>
      <c r="L7" s="12" t="n">
        <v>1.154549568965517</v>
      </c>
      <c r="M7" s="11" t="n">
        <v>17281</v>
      </c>
      <c r="N7" s="11" t="n">
        <v>14968</v>
      </c>
      <c r="O7" s="12" t="n">
        <v>1.154549568965517</v>
      </c>
      <c r="P7" s="10" t="inlineStr">
        <is>
          <t>OVER-PACING</t>
        </is>
      </c>
      <c r="Q7" s="11" t="n">
        <v>12129</v>
      </c>
      <c r="R7" s="12" t="n">
        <v>0.7018691047971761</v>
      </c>
      <c r="S7" s="11" t="n">
        <v>12903</v>
      </c>
      <c r="T7" s="13" t="n">
        <v>1.337130899790746</v>
      </c>
      <c r="U7" s="11" t="n">
        <v>0</v>
      </c>
      <c r="V7" s="12" t="n"/>
      <c r="W7" s="11" t="n">
        <v>17281</v>
      </c>
      <c r="X7" s="14" t="n">
        <v>10</v>
      </c>
      <c r="Y7" s="14" t="n">
        <v>172.81</v>
      </c>
      <c r="Z7" s="10" t="inlineStr"/>
    </row>
    <row r="8">
      <c r="A8" s="10" t="inlineStr">
        <is>
          <t>CMP-26-019</t>
        </is>
      </c>
      <c r="B8" s="10" t="inlineStr">
        <is>
          <t>Ironclad Insurance</t>
        </is>
      </c>
      <c r="C8" s="10" t="inlineStr">
        <is>
          <t>finance</t>
        </is>
      </c>
      <c r="D8" s="10" t="inlineStr">
        <is>
          <t>DZL</t>
        </is>
      </c>
      <c r="E8" s="10" t="inlineStr">
        <is>
          <t>DZL-LOADING-VID</t>
        </is>
      </c>
      <c r="F8" s="10" t="inlineStr">
        <is>
          <t>Direct</t>
        </is>
      </c>
      <c r="G8" s="16" t="n">
        <v>46266</v>
      </c>
      <c r="H8" s="16" t="n">
        <v>46295</v>
      </c>
      <c r="I8" s="11" t="n">
        <v>12000</v>
      </c>
      <c r="J8" s="11" t="n">
        <v>12000</v>
      </c>
      <c r="K8" s="11" t="n">
        <v>0</v>
      </c>
      <c r="L8" s="12" t="n">
        <v>0</v>
      </c>
      <c r="M8" s="11" t="n">
        <v>0</v>
      </c>
      <c r="N8" s="11" t="n">
        <v>12000</v>
      </c>
      <c r="O8" s="12" t="n">
        <v>0</v>
      </c>
      <c r="P8" s="10" t="inlineStr">
        <is>
          <t>NO DELIVERY</t>
        </is>
      </c>
      <c r="Q8" s="11" t="n">
        <v>0</v>
      </c>
      <c r="R8" s="12" t="n"/>
      <c r="S8" s="11" t="n">
        <v>0</v>
      </c>
      <c r="T8" s="13" t="n"/>
      <c r="U8" s="11" t="n">
        <v>0</v>
      </c>
      <c r="V8" s="12" t="n"/>
      <c r="W8" s="11" t="n">
        <v>0</v>
      </c>
      <c r="X8" s="14" t="n">
        <v>25</v>
      </c>
      <c r="Y8" s="14" t="n">
        <v>0</v>
      </c>
      <c r="Z8" s="10" t="inlineStr">
        <is>
          <t>Booked; trafficking not confirmed</t>
        </is>
      </c>
    </row>
    <row r="9">
      <c r="A9" s="10" t="inlineStr">
        <is>
          <t>CMP-26-005</t>
        </is>
      </c>
      <c r="B9" s="10" t="inlineStr">
        <is>
          <t>Crisp Chips</t>
        </is>
      </c>
      <c r="C9" s="10" t="inlineStr">
        <is>
          <t>cpg</t>
        </is>
      </c>
      <c r="D9" s="10" t="inlineStr">
        <is>
          <t>GRD</t>
        </is>
      </c>
      <c r="E9" s="10" t="inlineStr">
        <is>
          <t>GRD-ENDZONE</t>
        </is>
      </c>
      <c r="F9" s="10" t="inlineStr">
        <is>
          <t>Direct</t>
        </is>
      </c>
      <c r="G9" s="16" t="n">
        <v>46244</v>
      </c>
      <c r="H9" s="16" t="n">
        <v>46275</v>
      </c>
      <c r="I9" s="11" t="n">
        <v>32000</v>
      </c>
      <c r="J9" s="11" t="n">
        <v>10000</v>
      </c>
      <c r="K9" s="11" t="n">
        <v>8362</v>
      </c>
      <c r="L9" s="12" t="n">
        <v>0.8362000000000001</v>
      </c>
      <c r="M9" s="11" t="n">
        <v>32219</v>
      </c>
      <c r="N9" s="11" t="n">
        <v>32000</v>
      </c>
      <c r="O9" s="12" t="n">
        <v>1.00684375</v>
      </c>
      <c r="P9" s="10" t="inlineStr">
        <is>
          <t>ON PACE</t>
        </is>
      </c>
      <c r="Q9" s="11" t="n">
        <v>5073</v>
      </c>
      <c r="R9" s="12" t="n">
        <v>0.606673044726142</v>
      </c>
      <c r="S9" s="11" t="n">
        <v>6502</v>
      </c>
      <c r="T9" s="13" t="n">
        <v>1.283912642263919</v>
      </c>
      <c r="U9" s="11" t="n">
        <v>0</v>
      </c>
      <c r="V9" s="12" t="n"/>
      <c r="W9" s="11" t="n">
        <v>8143</v>
      </c>
      <c r="X9" s="14" t="n">
        <v>13</v>
      </c>
      <c r="Y9" s="14" t="n">
        <v>105.86</v>
      </c>
      <c r="Z9" s="10" t="inlineStr"/>
    </row>
    <row r="10">
      <c r="A10" s="10" t="inlineStr">
        <is>
          <t>CMP-26-006</t>
        </is>
      </c>
      <c r="B10" s="10" t="inlineStr">
        <is>
          <t>Ironclad Insurance</t>
        </is>
      </c>
      <c r="C10" s="10" t="inlineStr">
        <is>
          <t>finance</t>
        </is>
      </c>
      <c r="D10" s="10" t="inlineStr">
        <is>
          <t>GRD</t>
        </is>
      </c>
      <c r="E10" s="10" t="inlineStr">
        <is>
          <t>GRD-BROADCAST</t>
        </is>
      </c>
      <c r="F10" s="10" t="inlineStr">
        <is>
          <t>Programmatic Guaranteed</t>
        </is>
      </c>
      <c r="G10" s="16" t="n">
        <v>46235</v>
      </c>
      <c r="H10" s="16" t="n">
        <v>46295</v>
      </c>
      <c r="I10" s="11" t="n">
        <v>36000</v>
      </c>
      <c r="J10" s="11" t="n">
        <v>17705</v>
      </c>
      <c r="K10" s="11" t="n">
        <v>19550</v>
      </c>
      <c r="L10" s="12" t="n">
        <v>1.104212962962963</v>
      </c>
      <c r="M10" s="11" t="n">
        <v>41668</v>
      </c>
      <c r="N10" s="11" t="n">
        <v>36000</v>
      </c>
      <c r="O10" s="12" t="n">
        <v>1.157444444444444</v>
      </c>
      <c r="P10" s="10" t="inlineStr">
        <is>
          <t>OVER-PACING</t>
        </is>
      </c>
      <c r="Q10" s="11" t="n">
        <v>18525</v>
      </c>
      <c r="R10" s="12" t="n">
        <v>0.9475703324808185</v>
      </c>
      <c r="S10" s="11" t="n">
        <v>12465</v>
      </c>
      <c r="T10" s="13" t="n">
        <v>1.564781387886081</v>
      </c>
      <c r="U10" s="11" t="n">
        <v>19550</v>
      </c>
      <c r="V10" s="12" t="n">
        <v>0.5531457800511509</v>
      </c>
      <c r="W10" s="11" t="n">
        <v>13882</v>
      </c>
      <c r="X10" s="14" t="n">
        <v>30</v>
      </c>
      <c r="Y10" s="14" t="n">
        <v>416.46</v>
      </c>
      <c r="Z10" s="10" t="inlineStr"/>
    </row>
    <row r="11">
      <c r="A11" s="10" t="inlineStr">
        <is>
          <t>CMP-26-007</t>
        </is>
      </c>
      <c r="B11" s="10" t="inlineStr">
        <is>
          <t>Orbit Wireless</t>
        </is>
      </c>
      <c r="C11" s="10" t="inlineStr">
        <is>
          <t>telecom</t>
        </is>
      </c>
      <c r="D11" s="10" t="inlineStr">
        <is>
          <t>GRD</t>
        </is>
      </c>
      <c r="E11" s="10" t="inlineStr">
        <is>
          <t>GRD-MENU-BANNER</t>
        </is>
      </c>
      <c r="F11" s="10" t="inlineStr">
        <is>
          <t>Direct</t>
        </is>
      </c>
      <c r="G11" s="16" t="n">
        <v>46266</v>
      </c>
      <c r="H11" s="16" t="n">
        <v>46295</v>
      </c>
      <c r="I11" s="11" t="n">
        <v>18000</v>
      </c>
      <c r="J11" s="11" t="n">
        <v>18000</v>
      </c>
      <c r="K11" s="11" t="n">
        <v>17497</v>
      </c>
      <c r="L11" s="12" t="n">
        <v>0.9720555555555556</v>
      </c>
      <c r="M11" s="11" t="n">
        <v>17497</v>
      </c>
      <c r="N11" s="11" t="n">
        <v>18000</v>
      </c>
      <c r="O11" s="12" t="n">
        <v>0.9720555555555556</v>
      </c>
      <c r="P11" s="10" t="inlineStr">
        <is>
          <t>ON PACE</t>
        </is>
      </c>
      <c r="Q11" s="11" t="n">
        <v>16572</v>
      </c>
      <c r="R11" s="12" t="n">
        <v>0.9471337943647482</v>
      </c>
      <c r="S11" s="11" t="n">
        <v>11464</v>
      </c>
      <c r="T11" s="13" t="n">
        <v>1.522941381716678</v>
      </c>
      <c r="U11" s="11" t="n">
        <v>0</v>
      </c>
      <c r="V11" s="12" t="n"/>
      <c r="W11" s="11" t="n">
        <v>17497</v>
      </c>
      <c r="X11" s="14" t="n">
        <v>9</v>
      </c>
      <c r="Y11" s="14" t="n">
        <v>157.47</v>
      </c>
      <c r="Z11" s="10" t="inlineStr"/>
    </row>
    <row r="12">
      <c r="A12" s="10" t="inlineStr">
        <is>
          <t>CMP-26-008</t>
        </is>
      </c>
      <c r="B12" s="10" t="inlineStr">
        <is>
          <t>Summit Motors</t>
        </is>
      </c>
      <c r="C12" s="10" t="inlineStr">
        <is>
          <t>auto</t>
        </is>
      </c>
      <c r="D12" s="10" t="inlineStr">
        <is>
          <t>GRD</t>
        </is>
      </c>
      <c r="E12" s="10" t="inlineStr">
        <is>
          <t>GRD-ENDZONE|GRD-BROADCAST</t>
        </is>
      </c>
      <c r="F12" s="10" t="inlineStr">
        <is>
          <t>Direct</t>
        </is>
      </c>
      <c r="G12" s="16" t="n">
        <v>46270</v>
      </c>
      <c r="H12" s="16" t="n">
        <v>46326</v>
      </c>
      <c r="I12" s="11" t="n">
        <v>53000</v>
      </c>
      <c r="J12" s="11" t="n">
        <v>24175</v>
      </c>
      <c r="K12" s="11" t="n">
        <v>28078</v>
      </c>
      <c r="L12" s="12" t="n">
        <v>1.161426705370102</v>
      </c>
      <c r="M12" s="11" t="n">
        <v>28078</v>
      </c>
      <c r="N12" s="11" t="n">
        <v>24175</v>
      </c>
      <c r="O12" s="12" t="n">
        <v>1.161426705370102</v>
      </c>
      <c r="P12" s="10" t="inlineStr">
        <is>
          <t>OVER-PACING</t>
        </is>
      </c>
      <c r="Q12" s="11" t="n">
        <v>20226</v>
      </c>
      <c r="R12" s="12" t="n">
        <v>0.7203504523114181</v>
      </c>
      <c r="S12" s="11" t="n">
        <v>15761</v>
      </c>
      <c r="T12" s="13" t="n">
        <v>1.777488738024237</v>
      </c>
      <c r="U12" s="11" t="n">
        <v>9210</v>
      </c>
      <c r="V12" s="12" t="n">
        <v>0.5496199782844734</v>
      </c>
      <c r="W12" s="11" t="n">
        <v>28078</v>
      </c>
      <c r="X12" s="14" t="n">
        <v>22</v>
      </c>
      <c r="Y12" s="14" t="n">
        <v>617.72</v>
      </c>
      <c r="Z12" s="10" t="inlineStr"/>
    </row>
    <row r="13">
      <c r="A13" s="10" t="inlineStr">
        <is>
          <t>CMP-26-009</t>
        </is>
      </c>
      <c r="B13" s="10" t="inlineStr">
        <is>
          <t>Peak Athletic</t>
        </is>
      </c>
      <c r="C13" s="10" t="inlineStr">
        <is>
          <t>apparel</t>
        </is>
      </c>
      <c r="D13" s="10" t="inlineStr">
        <is>
          <t>GRD</t>
        </is>
      </c>
      <c r="E13" s="10" t="inlineStr">
        <is>
          <t>GRD-SKILLS-CHAL</t>
        </is>
      </c>
      <c r="F13" s="10" t="inlineStr">
        <is>
          <t>Programmatic Guaranteed</t>
        </is>
      </c>
      <c r="G13" s="16" t="n">
        <v>46275</v>
      </c>
      <c r="H13" s="16" t="n">
        <v>46326</v>
      </c>
      <c r="I13" s="11" t="n">
        <v>21000</v>
      </c>
      <c r="J13" s="11" t="n">
        <v>8481</v>
      </c>
      <c r="K13" s="11" t="n">
        <v>6675</v>
      </c>
      <c r="L13" s="12" t="n">
        <v>0.7870748299319729</v>
      </c>
      <c r="M13" s="11" t="n">
        <v>6675</v>
      </c>
      <c r="N13" s="11" t="n">
        <v>8481</v>
      </c>
      <c r="O13" s="12" t="n">
        <v>0.7870748299319729</v>
      </c>
      <c r="P13" s="10" t="inlineStr">
        <is>
          <t>UNDER-PACING</t>
        </is>
      </c>
      <c r="Q13" s="11" t="n">
        <v>6539</v>
      </c>
      <c r="R13" s="12" t="n">
        <v>0.979625468164794</v>
      </c>
      <c r="S13" s="11" t="n">
        <v>5421</v>
      </c>
      <c r="T13" s="13" t="n">
        <v>1.22892455266556</v>
      </c>
      <c r="U13" s="11" t="n">
        <v>0</v>
      </c>
      <c r="V13" s="12" t="n"/>
      <c r="W13" s="11" t="n">
        <v>6675</v>
      </c>
      <c r="X13" s="14" t="n">
        <v>18</v>
      </c>
      <c r="Y13" s="14" t="n">
        <v>120.15</v>
      </c>
      <c r="Z13" s="10" t="inlineStr">
        <is>
          <t>New inventory: GRD skills challenge</t>
        </is>
      </c>
    </row>
    <row r="14">
      <c r="A14" s="10" t="inlineStr">
        <is>
          <t>CMP-26-014</t>
        </is>
      </c>
      <c r="B14" s="10" t="inlineStr">
        <is>
          <t>FreshCart Grocery</t>
        </is>
      </c>
      <c r="C14" s="10" t="inlineStr">
        <is>
          <t>retail</t>
        </is>
      </c>
      <c r="D14" s="10" t="inlineStr">
        <is>
          <t>HTL</t>
        </is>
      </c>
      <c r="E14" s="10" t="inlineStr">
        <is>
          <t>HTL-REWARDED-VID</t>
        </is>
      </c>
      <c r="F14" s="10" t="inlineStr">
        <is>
          <t>Programmatic Guaranteed</t>
        </is>
      </c>
      <c r="G14" s="16" t="n">
        <v>46235</v>
      </c>
      <c r="H14" s="16" t="n">
        <v>46295</v>
      </c>
      <c r="I14" s="11" t="n">
        <v>57000</v>
      </c>
      <c r="J14" s="11" t="n">
        <v>28033</v>
      </c>
      <c r="K14" s="11" t="n">
        <v>27949</v>
      </c>
      <c r="L14" s="12" t="n">
        <v>0.9970111111111111</v>
      </c>
      <c r="M14" s="11" t="n">
        <v>54494</v>
      </c>
      <c r="N14" s="11" t="n">
        <v>57000</v>
      </c>
      <c r="O14" s="12" t="n">
        <v>0.9560350877192982</v>
      </c>
      <c r="P14" s="10" t="inlineStr">
        <is>
          <t>ON PACE</t>
        </is>
      </c>
      <c r="Q14" s="11" t="n">
        <v>27726</v>
      </c>
      <c r="R14" s="12" t="n">
        <v>0.9920211814376185</v>
      </c>
      <c r="S14" s="11" t="n">
        <v>14465</v>
      </c>
      <c r="T14" s="13" t="n">
        <v>1.927549256826823</v>
      </c>
      <c r="U14" s="11" t="n">
        <v>27949</v>
      </c>
      <c r="V14" s="12" t="n">
        <v>0.930337400264768</v>
      </c>
      <c r="W14" s="11" t="n">
        <v>27949</v>
      </c>
      <c r="X14" s="14" t="n">
        <v>16</v>
      </c>
      <c r="Y14" s="14" t="n">
        <v>447.18</v>
      </c>
      <c r="Z14" s="10" t="inlineStr"/>
    </row>
    <row r="15">
      <c r="A15" s="10" t="inlineStr">
        <is>
          <t>CMP-26-015</t>
        </is>
      </c>
      <c r="B15" s="10" t="inlineStr">
        <is>
          <t>Crisp Chips</t>
        </is>
      </c>
      <c r="C15" s="10" t="inlineStr">
        <is>
          <t>cpg</t>
        </is>
      </c>
      <c r="D15" s="10" t="inlineStr">
        <is>
          <t>HTL</t>
        </is>
      </c>
      <c r="E15" s="10" t="inlineStr">
        <is>
          <t>HTL-INTERSTITIAL</t>
        </is>
      </c>
      <c r="F15" s="10" t="inlineStr">
        <is>
          <t>Direct</t>
        </is>
      </c>
      <c r="G15" s="16" t="n">
        <v>46266</v>
      </c>
      <c r="H15" s="16" t="n">
        <v>46326</v>
      </c>
      <c r="I15" s="11" t="n">
        <v>47000</v>
      </c>
      <c r="J15" s="11" t="n">
        <v>23115</v>
      </c>
      <c r="K15" s="11" t="n">
        <v>23628</v>
      </c>
      <c r="L15" s="12" t="n">
        <v>1.022204255319149</v>
      </c>
      <c r="M15" s="11" t="n">
        <v>23628</v>
      </c>
      <c r="N15" s="11" t="n">
        <v>23115</v>
      </c>
      <c r="O15" s="12" t="n">
        <v>1.022204255319149</v>
      </c>
      <c r="P15" s="10" t="inlineStr">
        <is>
          <t>ON PACE</t>
        </is>
      </c>
      <c r="Q15" s="11" t="n">
        <v>23565</v>
      </c>
      <c r="R15" s="12" t="n">
        <v>0.9973336719146775</v>
      </c>
      <c r="S15" s="11" t="n">
        <v>13152</v>
      </c>
      <c r="T15" s="13" t="n">
        <v>1.792655109489051</v>
      </c>
      <c r="U15" s="11" t="n">
        <v>0</v>
      </c>
      <c r="V15" s="12" t="n"/>
      <c r="W15" s="11" t="n">
        <v>23628</v>
      </c>
      <c r="X15" s="14" t="n">
        <v>8</v>
      </c>
      <c r="Y15" s="14" t="n">
        <v>189.02</v>
      </c>
      <c r="Z15" s="10" t="inlineStr"/>
    </row>
    <row r="16">
      <c r="A16" s="10" t="inlineStr">
        <is>
          <t>CMP-26-016</t>
        </is>
      </c>
      <c r="B16" s="10" t="inlineStr">
        <is>
          <t>Orbit Wireless</t>
        </is>
      </c>
      <c r="C16" s="10" t="inlineStr">
        <is>
          <t>telecom</t>
        </is>
      </c>
      <c r="D16" s="10" t="inlineStr">
        <is>
          <t>HTL</t>
        </is>
      </c>
      <c r="E16" s="10" t="inlineStr">
        <is>
          <t>HTL-REWARDED-VID</t>
        </is>
      </c>
      <c r="F16" s="10" t="inlineStr">
        <is>
          <t>Direct</t>
        </is>
      </c>
      <c r="G16" s="16" t="n">
        <v>46275</v>
      </c>
      <c r="H16" s="16" t="n">
        <v>46305</v>
      </c>
      <c r="I16" s="11" t="n">
        <v>20000</v>
      </c>
      <c r="J16" s="11" t="n">
        <v>13548</v>
      </c>
      <c r="K16" s="11" t="n">
        <v>11351</v>
      </c>
      <c r="L16" s="12" t="n">
        <v>0.8378119047619048</v>
      </c>
      <c r="M16" s="11" t="n">
        <v>11351</v>
      </c>
      <c r="N16" s="11" t="n">
        <v>13548</v>
      </c>
      <c r="O16" s="12" t="n">
        <v>0.8378119047619048</v>
      </c>
      <c r="P16" s="10" t="inlineStr">
        <is>
          <t>UNDER-PACING</t>
        </is>
      </c>
      <c r="Q16" s="11" t="n">
        <v>11263</v>
      </c>
      <c r="R16" s="12" t="n">
        <v>0.9922473790855432</v>
      </c>
      <c r="S16" s="11" t="n">
        <v>7893</v>
      </c>
      <c r="T16" s="13" t="n">
        <v>1.435702521221335</v>
      </c>
      <c r="U16" s="11" t="n">
        <v>11351</v>
      </c>
      <c r="V16" s="12" t="n">
        <v>0.9314597832790062</v>
      </c>
      <c r="W16" s="11" t="n">
        <v>11351</v>
      </c>
      <c r="X16" s="14" t="n">
        <v>17</v>
      </c>
      <c r="Y16" s="14" t="n">
        <v>192.97</v>
      </c>
      <c r="Z16" s="10" t="inlineStr"/>
    </row>
    <row r="17">
      <c r="A17" s="10" t="inlineStr">
        <is>
          <t>CMP-26-001</t>
        </is>
      </c>
      <c r="B17" s="10" t="inlineStr">
        <is>
          <t>Voltage Energy</t>
        </is>
      </c>
      <c r="C17" s="10" t="inlineStr">
        <is>
          <t>beverage</t>
        </is>
      </c>
      <c r="D17" s="10" t="inlineStr">
        <is>
          <t>PFC</t>
        </is>
      </c>
      <c r="E17" s="10" t="inlineStr">
        <is>
          <t>PFC-LED-STADIUM|PFC-KIT-SPONSOR</t>
        </is>
      </c>
      <c r="F17" s="10" t="inlineStr">
        <is>
          <t>Programmatic Guaranteed</t>
        </is>
      </c>
      <c r="G17" s="16" t="n">
        <v>46235</v>
      </c>
      <c r="H17" s="16" t="n">
        <v>46295</v>
      </c>
      <c r="I17" s="11" t="n">
        <v>79000</v>
      </c>
      <c r="J17" s="11" t="n">
        <v>38852</v>
      </c>
      <c r="K17" s="11" t="n">
        <v>46143</v>
      </c>
      <c r="L17" s="12" t="n">
        <v>1.187646835443038</v>
      </c>
      <c r="M17" s="11" t="n">
        <v>80066</v>
      </c>
      <c r="N17" s="11" t="n">
        <v>79000</v>
      </c>
      <c r="O17" s="12" t="n">
        <v>1.013493670886076</v>
      </c>
      <c r="P17" s="10" t="inlineStr">
        <is>
          <t>ON PACE</t>
        </is>
      </c>
      <c r="Q17" s="11" t="n">
        <v>25288</v>
      </c>
      <c r="R17" s="12" t="n">
        <v>0.5480354549985913</v>
      </c>
      <c r="S17" s="11" t="n">
        <v>22719</v>
      </c>
      <c r="T17" s="13" t="n">
        <v>2.026981821382984</v>
      </c>
      <c r="U17" s="11" t="n">
        <v>0</v>
      </c>
      <c r="V17" s="12" t="n"/>
      <c r="W17" s="11" t="n">
        <v>45077</v>
      </c>
      <c r="X17" s="14" t="n">
        <v>12</v>
      </c>
      <c r="Y17" s="14" t="n">
        <v>540.92</v>
      </c>
      <c r="Z17" s="10" t="inlineStr"/>
    </row>
    <row r="18">
      <c r="A18" s="10" t="inlineStr">
        <is>
          <t>CMP-26-002</t>
        </is>
      </c>
      <c r="B18" s="10" t="inlineStr">
        <is>
          <t>Summit Motors</t>
        </is>
      </c>
      <c r="C18" s="10" t="inlineStr">
        <is>
          <t>auto</t>
        </is>
      </c>
      <c r="D18" s="10" t="inlineStr">
        <is>
          <t>PFC</t>
        </is>
      </c>
      <c r="E18" s="10" t="inlineStr">
        <is>
          <t>PFC-HALFTIME-VID</t>
        </is>
      </c>
      <c r="F18" s="10" t="inlineStr">
        <is>
          <t>Direct</t>
        </is>
      </c>
      <c r="G18" s="16" t="n">
        <v>46249</v>
      </c>
      <c r="H18" s="16" t="n">
        <v>46310</v>
      </c>
      <c r="I18" s="11" t="n">
        <v>31000</v>
      </c>
      <c r="J18" s="11" t="n">
        <v>15000</v>
      </c>
      <c r="K18" s="11" t="n">
        <v>10925</v>
      </c>
      <c r="L18" s="12" t="n">
        <v>0.7283333333333334</v>
      </c>
      <c r="M18" s="11" t="n">
        <v>15500</v>
      </c>
      <c r="N18" s="11" t="n">
        <v>23500</v>
      </c>
      <c r="O18" s="12" t="n">
        <v>0.6595744680851063</v>
      </c>
      <c r="P18" s="10" t="inlineStr">
        <is>
          <t>UNDER-PACING</t>
        </is>
      </c>
      <c r="Q18" s="11" t="n">
        <v>10452</v>
      </c>
      <c r="R18" s="12" t="n">
        <v>0.9567048054919909</v>
      </c>
      <c r="S18" s="11" t="n">
        <v>8400</v>
      </c>
      <c r="T18" s="13" t="n">
        <v>1.2975</v>
      </c>
      <c r="U18" s="11" t="n">
        <v>10925</v>
      </c>
      <c r="V18" s="12" t="n">
        <v>0.6168421052631579</v>
      </c>
      <c r="W18" s="11" t="n">
        <v>10925</v>
      </c>
      <c r="X18" s="14" t="n">
        <v>28</v>
      </c>
      <c r="Y18" s="14" t="n">
        <v>305.9</v>
      </c>
      <c r="Z18" s="10" t="inlineStr"/>
    </row>
    <row r="19">
      <c r="A19" s="10" t="inlineStr">
        <is>
          <t>CMP-26-003</t>
        </is>
      </c>
      <c r="B19" s="10" t="inlineStr">
        <is>
          <t>Peak Athletic</t>
        </is>
      </c>
      <c r="C19" s="10" t="inlineStr">
        <is>
          <t>apparel</t>
        </is>
      </c>
      <c r="D19" s="10" t="inlineStr">
        <is>
          <t>PFC</t>
        </is>
      </c>
      <c r="E19" s="10" t="inlineStr">
        <is>
          <t>PFC-KIT-SPONSOR</t>
        </is>
      </c>
      <c r="F19" s="10" t="inlineStr">
        <is>
          <t>Direct</t>
        </is>
      </c>
      <c r="G19" s="16" t="n">
        <v>46266</v>
      </c>
      <c r="H19" s="16" t="n">
        <v>46326</v>
      </c>
      <c r="I19" s="11" t="n">
        <v>45000</v>
      </c>
      <c r="J19" s="11" t="n">
        <v>22131</v>
      </c>
      <c r="K19" s="11" t="n">
        <v>20547</v>
      </c>
      <c r="L19" s="12" t="n">
        <v>0.92842</v>
      </c>
      <c r="M19" s="11" t="n">
        <v>20547</v>
      </c>
      <c r="N19" s="11" t="n">
        <v>22131</v>
      </c>
      <c r="O19" s="12" t="n">
        <v>0.92842</v>
      </c>
      <c r="P19" s="10" t="inlineStr">
        <is>
          <t>ON PACE</t>
        </is>
      </c>
      <c r="Q19" s="11" t="n">
        <v>5912</v>
      </c>
      <c r="R19" s="12" t="n">
        <v>0.2877305689395045</v>
      </c>
      <c r="S19" s="11" t="n">
        <v>13411</v>
      </c>
      <c r="T19" s="13" t="n">
        <v>1.52904332264559</v>
      </c>
      <c r="U19" s="11" t="n">
        <v>0</v>
      </c>
      <c r="V19" s="12" t="n"/>
      <c r="W19" s="11" t="n">
        <v>20547</v>
      </c>
      <c r="X19" s="14" t="n">
        <v>14</v>
      </c>
      <c r="Y19" s="14" t="n">
        <v>287.66</v>
      </c>
      <c r="Z19" s="10" t="inlineStr"/>
    </row>
    <row r="20">
      <c r="A20" s="10" t="inlineStr">
        <is>
          <t>CMP-26-004</t>
        </is>
      </c>
      <c r="B20" s="10" t="inlineStr">
        <is>
          <t>Nimbus Streaming</t>
        </is>
      </c>
      <c r="C20" s="10" t="inlineStr">
        <is>
          <t>media</t>
        </is>
      </c>
      <c r="D20" s="10" t="inlineStr">
        <is>
          <t>PFC</t>
        </is>
      </c>
      <c r="E20" s="10" t="inlineStr">
        <is>
          <t>PFC-LED-STADIUM</t>
        </is>
      </c>
      <c r="F20" s="10" t="inlineStr">
        <is>
          <t>Direct</t>
        </is>
      </c>
      <c r="G20" s="16" t="n">
        <v>46285</v>
      </c>
      <c r="H20" s="16" t="n">
        <v>46315</v>
      </c>
      <c r="I20" s="11" t="n">
        <v>54000</v>
      </c>
      <c r="J20" s="11" t="n">
        <v>19161</v>
      </c>
      <c r="K20" s="11" t="n">
        <v>20072</v>
      </c>
      <c r="L20" s="12" t="n">
        <v>1.04752861952862</v>
      </c>
      <c r="M20" s="11" t="n">
        <v>20072</v>
      </c>
      <c r="N20" s="11" t="n">
        <v>19161</v>
      </c>
      <c r="O20" s="12" t="n">
        <v>1.04752861952862</v>
      </c>
      <c r="P20" s="10" t="inlineStr">
        <is>
          <t>ON PACE</t>
        </is>
      </c>
      <c r="Q20" s="11" t="n">
        <v>13643</v>
      </c>
      <c r="R20" s="12" t="n">
        <v>0.6797030689517736</v>
      </c>
      <c r="S20" s="11" t="n">
        <v>13281</v>
      </c>
      <c r="T20" s="13" t="n">
        <v>1.508169565544763</v>
      </c>
      <c r="U20" s="11" t="n">
        <v>0</v>
      </c>
      <c r="V20" s="12" t="n"/>
      <c r="W20" s="11" t="n">
        <v>20072</v>
      </c>
      <c r="X20" s="14" t="n">
        <v>11</v>
      </c>
      <c r="Y20" s="14" t="n">
        <v>220.79</v>
      </c>
      <c r="Z20" s="10" t="inlineStr"/>
    </row>
    <row r="21">
      <c r="A21" s="10" t="inlineStr">
        <is>
          <t>CMP-26-018</t>
        </is>
      </c>
      <c r="B21" s="10" t="inlineStr">
        <is>
          <t>Halo Headphones</t>
        </is>
      </c>
      <c r="C21" s="10" t="inlineStr">
        <is>
          <t>electronics</t>
        </is>
      </c>
      <c r="D21" s="10" t="inlineStr">
        <is>
          <t>PFC</t>
        </is>
      </c>
      <c r="E21" s="10" t="inlineStr">
        <is>
          <t>PFC-HALFTIME-VID</t>
        </is>
      </c>
      <c r="F21" s="10" t="inlineStr">
        <is>
          <t>Programmatic Guaranteed</t>
        </is>
      </c>
      <c r="G21" s="16" t="n">
        <v>46266</v>
      </c>
      <c r="H21" s="16" t="n">
        <v>46293</v>
      </c>
      <c r="I21" s="11" t="n">
        <v>9000</v>
      </c>
      <c r="J21" s="11" t="n">
        <v>9000</v>
      </c>
      <c r="K21" s="11" t="n">
        <v>8821</v>
      </c>
      <c r="L21" s="12" t="n">
        <v>0.9801111111111112</v>
      </c>
      <c r="M21" s="11" t="n">
        <v>8821</v>
      </c>
      <c r="N21" s="11" t="n">
        <v>9000</v>
      </c>
      <c r="O21" s="12" t="n">
        <v>0.9801111111111112</v>
      </c>
      <c r="P21" s="10" t="inlineStr">
        <is>
          <t>ON PACE</t>
        </is>
      </c>
      <c r="Q21" s="11" t="n">
        <v>8446</v>
      </c>
      <c r="R21" s="12" t="n">
        <v>0.9574878131731096</v>
      </c>
      <c r="S21" s="11" t="n">
        <v>7044</v>
      </c>
      <c r="T21" s="13" t="n">
        <v>1.248580352072686</v>
      </c>
      <c r="U21" s="11" t="n">
        <v>8821</v>
      </c>
      <c r="V21" s="12" t="n">
        <v>0.6218115859879833</v>
      </c>
      <c r="W21" s="11" t="n">
        <v>8821</v>
      </c>
      <c r="X21" s="14" t="n">
        <v>26</v>
      </c>
      <c r="Y21" s="14" t="n">
        <v>229.35</v>
      </c>
      <c r="Z21" s="10" t="inlineStr"/>
    </row>
    <row r="22">
      <c r="A22" s="7" t="inlineStr">
        <is>
          <t>Total</t>
        </is>
      </c>
      <c r="I22" s="17">
        <f>SUM(I5:I21)</f>
        <v/>
      </c>
      <c r="J22" s="17">
        <f>SUM(J5:J21)</f>
        <v/>
      </c>
      <c r="K22" s="17">
        <f>SUM(K5:K21)</f>
        <v/>
      </c>
      <c r="L22" s="18">
        <f>IFERROR(K22/J22,0)</f>
        <v/>
      </c>
      <c r="Q22" s="17">
        <f>SUM(Q5:Q21)</f>
        <v/>
      </c>
      <c r="R22" s="18">
        <f>IFERROR(Q22/K22,0)</f>
        <v/>
      </c>
      <c r="U22" s="17">
        <f>SUM(U5:U21)</f>
        <v/>
      </c>
      <c r="W22" s="17">
        <f>SUM(W5:W21)</f>
        <v/>
      </c>
      <c r="Y22" s="19">
        <f>SUM(Y5:Y21)</f>
        <v/>
      </c>
    </row>
  </sheetData>
  <autoFilter ref="A4:Z21"/>
  <conditionalFormatting sqref="P5:P21">
    <cfRule type="expression" priority="1" dxfId="0">
      <formula>OR(P5="UNDER-PACING",P5="NO DELIVERY")</formula>
    </cfRule>
    <cfRule type="expression" priority="2" dxfId="1">
      <formula>P5="OVER-PACING"</formula>
    </cfRule>
    <cfRule type="expression" priority="3" dxfId="2">
      <formula>P5="ON PACE"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8" customWidth="1" min="4" max="4"/>
    <col width="11" customWidth="1" min="5" max="5"/>
    <col width="21" customWidth="1" min="6" max="6"/>
    <col width="16" customWidth="1" min="7" max="7"/>
    <col width="13" customWidth="1" min="8" max="8"/>
    <col width="16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Placement Detail</t>
        </is>
      </c>
    </row>
    <row r="2">
      <c r="A2" s="2" t="inlineStr">
        <is>
          <t>Inventory view. New inventory = placement launched this month (Product Mgmt catalog).</t>
        </is>
      </c>
    </row>
    <row r="3"/>
    <row r="4" ht="30" customHeight="1">
      <c r="A4" s="9" t="inlineStr">
        <is>
          <t>Title Id</t>
        </is>
      </c>
      <c r="B4" s="9" t="inlineStr">
        <is>
          <t>Title Name</t>
        </is>
      </c>
      <c r="C4" s="9" t="inlineStr">
        <is>
          <t>Placement Id</t>
        </is>
      </c>
      <c r="D4" s="9" t="inlineStr">
        <is>
          <t>Placement Name</t>
        </is>
      </c>
      <c r="E4" s="9" t="inlineStr">
        <is>
          <t>Ad Format</t>
        </is>
      </c>
      <c r="F4" s="9" t="inlineStr">
        <is>
          <t>Launch Date</t>
        </is>
      </c>
      <c r="G4" s="9" t="inlineStr">
        <is>
          <t>Is New Inventory</t>
        </is>
      </c>
      <c r="H4" s="9" t="inlineStr">
        <is>
          <t>Ad Requests</t>
        </is>
      </c>
      <c r="I4" s="9" t="inlineStr">
        <is>
          <t>Ad Server Filled</t>
        </is>
      </c>
      <c r="J4" s="9" t="inlineStr">
        <is>
          <t>Fill Rate</t>
        </is>
      </c>
      <c r="K4" s="9" t="inlineStr">
        <is>
          <t>Telemetry Impressions</t>
        </is>
      </c>
      <c r="L4" s="9" t="inlineStr">
        <is>
          <t>Paid Impressions</t>
        </is>
      </c>
      <c r="M4" s="9" t="inlineStr">
        <is>
          <t>House Impressions</t>
        </is>
      </c>
      <c r="N4" s="9" t="inlineStr">
        <is>
          <t>Sell Through Rate</t>
        </is>
      </c>
      <c r="O4" s="9" t="inlineStr">
        <is>
          <t>Viewability Rate</t>
        </is>
      </c>
      <c r="P4" s="9" t="inlineStr">
        <is>
          <t>Paid Unique Reach</t>
        </is>
      </c>
      <c r="Q4" s="9" t="inlineStr">
        <is>
          <t>Video Completion Rate</t>
        </is>
      </c>
      <c r="R4" s="9" t="inlineStr">
        <is>
          <t>Telemetry Vs Adserver Pct</t>
        </is>
      </c>
    </row>
    <row r="5">
      <c r="A5" s="10" t="inlineStr">
        <is>
          <t>DZL</t>
        </is>
      </c>
      <c r="B5" s="10" t="inlineStr">
        <is>
          <t>Dropzone Legends</t>
        </is>
      </c>
      <c r="C5" s="10" t="inlineStr">
        <is>
          <t>DZL-LOADING-VID</t>
        </is>
      </c>
      <c r="D5" s="10" t="inlineStr">
        <is>
          <t>Loading screen video</t>
        </is>
      </c>
      <c r="E5" s="10" t="inlineStr">
        <is>
          <t>video</t>
        </is>
      </c>
      <c r="F5" s="16" t="n">
        <v>45853</v>
      </c>
      <c r="G5" s="10" t="b">
        <v>0</v>
      </c>
      <c r="H5" s="11" t="n">
        <v>56737</v>
      </c>
      <c r="I5" s="11" t="n">
        <v>49387</v>
      </c>
      <c r="J5" s="12" t="n">
        <v>0.8704549059696495</v>
      </c>
      <c r="K5" s="11" t="n">
        <v>49123</v>
      </c>
      <c r="L5" s="11" t="n">
        <v>30052</v>
      </c>
      <c r="M5" s="11" t="n">
        <v>19012</v>
      </c>
      <c r="N5" s="12" t="n">
        <v>0.5296719953469518</v>
      </c>
      <c r="O5" s="12" t="n">
        <v>0.9370091840809264</v>
      </c>
      <c r="P5" s="11" t="n">
        <v>19357</v>
      </c>
      <c r="Q5" s="12" t="n">
        <v>0.4760082523625715</v>
      </c>
      <c r="R5" s="15" t="n">
        <v>-0.005345536274728167</v>
      </c>
    </row>
    <row r="6">
      <c r="A6" s="10" t="inlineStr">
        <is>
          <t>DZL</t>
        </is>
      </c>
      <c r="B6" s="10" t="inlineStr">
        <is>
          <t>Dropzone Legends</t>
        </is>
      </c>
      <c r="C6" s="10" t="inlineStr">
        <is>
          <t>DZL-LOBBY-BILL</t>
        </is>
      </c>
      <c r="D6" s="10" t="inlineStr">
        <is>
          <t>Lobby billboard</t>
        </is>
      </c>
      <c r="E6" s="10" t="inlineStr">
        <is>
          <t>display</t>
        </is>
      </c>
      <c r="F6" s="16" t="n">
        <v>45853</v>
      </c>
      <c r="G6" s="10" t="b">
        <v>0</v>
      </c>
      <c r="H6" s="11" t="n">
        <v>110194</v>
      </c>
      <c r="I6" s="11" t="n">
        <v>92988</v>
      </c>
      <c r="J6" s="12" t="n">
        <v>0.8438571973065684</v>
      </c>
      <c r="K6" s="11" t="n">
        <v>92575</v>
      </c>
      <c r="L6" s="11" t="n">
        <v>51518</v>
      </c>
      <c r="M6" s="11" t="n">
        <v>40930</v>
      </c>
      <c r="N6" s="12" t="n">
        <v>0.4675209176543187</v>
      </c>
      <c r="O6" s="12" t="n">
        <v>0.6995613183741605</v>
      </c>
      <c r="P6" s="11" t="n">
        <v>27553</v>
      </c>
      <c r="Q6" s="12" t="n"/>
      <c r="R6" s="15" t="n">
        <v>-0.004441433303221921</v>
      </c>
    </row>
    <row r="7">
      <c r="A7" s="10" t="inlineStr">
        <is>
          <t>GRD</t>
        </is>
      </c>
      <c r="B7" s="10" t="inlineStr">
        <is>
          <t>Gridiron 27</t>
        </is>
      </c>
      <c r="C7" s="10" t="inlineStr">
        <is>
          <t>GRD-BROADCAST</t>
        </is>
      </c>
      <c r="D7" s="10" t="inlineStr">
        <is>
          <t>Broadcast bumper video</t>
        </is>
      </c>
      <c r="E7" s="10" t="inlineStr">
        <is>
          <t>video</t>
        </is>
      </c>
      <c r="F7" s="16" t="n">
        <v>45853</v>
      </c>
      <c r="G7" s="10" t="b">
        <v>0</v>
      </c>
      <c r="H7" s="11" t="n">
        <v>42791</v>
      </c>
      <c r="I7" s="11" t="n">
        <v>38782</v>
      </c>
      <c r="J7" s="12" t="n">
        <v>0.9063120749690355</v>
      </c>
      <c r="K7" s="11" t="n">
        <v>38542</v>
      </c>
      <c r="L7" s="11" t="n">
        <v>28760</v>
      </c>
      <c r="M7" s="11" t="n">
        <v>9782</v>
      </c>
      <c r="N7" s="12" t="n">
        <v>0.6721039470916782</v>
      </c>
      <c r="O7" s="12" t="n">
        <v>0.9467315716272601</v>
      </c>
      <c r="P7" s="11" t="n">
        <v>16056</v>
      </c>
      <c r="Q7" s="12" t="n">
        <v>0.5520166898470097</v>
      </c>
      <c r="R7" s="15" t="n">
        <v>-0.006188437935124543</v>
      </c>
    </row>
    <row r="8">
      <c r="A8" s="10" t="inlineStr">
        <is>
          <t>GRD</t>
        </is>
      </c>
      <c r="B8" s="10" t="inlineStr">
        <is>
          <t>Gridiron 27</t>
        </is>
      </c>
      <c r="C8" s="10" t="inlineStr">
        <is>
          <t>GRD-ENDZONE</t>
        </is>
      </c>
      <c r="D8" s="10" t="inlineStr">
        <is>
          <t>End-zone branding</t>
        </is>
      </c>
      <c r="E8" s="10" t="inlineStr">
        <is>
          <t>display</t>
        </is>
      </c>
      <c r="F8" s="16" t="n">
        <v>45853</v>
      </c>
      <c r="G8" s="10" t="b">
        <v>0</v>
      </c>
      <c r="H8" s="11" t="n">
        <v>86270</v>
      </c>
      <c r="I8" s="11" t="n">
        <v>69838</v>
      </c>
      <c r="J8" s="12" t="n">
        <v>0.8095282253390518</v>
      </c>
      <c r="K8" s="11" t="n">
        <v>69402</v>
      </c>
      <c r="L8" s="11" t="n">
        <v>27230</v>
      </c>
      <c r="M8" s="11" t="n">
        <v>42172</v>
      </c>
      <c r="N8" s="12" t="n">
        <v>0.3156369537498551</v>
      </c>
      <c r="O8" s="12" t="n">
        <v>0.6094748439221447</v>
      </c>
      <c r="P8" s="11" t="n">
        <v>15419</v>
      </c>
      <c r="Q8" s="12" t="n"/>
      <c r="R8" s="15" t="n">
        <v>-0.006243019559552107</v>
      </c>
    </row>
    <row r="9">
      <c r="A9" s="10" t="inlineStr">
        <is>
          <t>GRD</t>
        </is>
      </c>
      <c r="B9" s="10" t="inlineStr">
        <is>
          <t>Gridiron 27</t>
        </is>
      </c>
      <c r="C9" s="10" t="inlineStr">
        <is>
          <t>GRD-MENU-BANNER</t>
        </is>
      </c>
      <c r="D9" s="10" t="inlineStr">
        <is>
          <t>Main menu banner</t>
        </is>
      </c>
      <c r="E9" s="10" t="inlineStr">
        <is>
          <t>display</t>
        </is>
      </c>
      <c r="F9" s="16" t="n">
        <v>45853</v>
      </c>
      <c r="G9" s="10" t="b">
        <v>0</v>
      </c>
      <c r="H9" s="11" t="n">
        <v>51444</v>
      </c>
      <c r="I9" s="11" t="n">
        <v>41525</v>
      </c>
      <c r="J9" s="12" t="n">
        <v>0.8071883990358448</v>
      </c>
      <c r="K9" s="11" t="n">
        <v>41287</v>
      </c>
      <c r="L9" s="11" t="n">
        <v>17497</v>
      </c>
      <c r="M9" s="11" t="n">
        <v>23790</v>
      </c>
      <c r="N9" s="12" t="n">
        <v>0.3401174092216779</v>
      </c>
      <c r="O9" s="12" t="n">
        <v>0.9471337943647482</v>
      </c>
      <c r="P9" s="11" t="n">
        <v>11464</v>
      </c>
      <c r="Q9" s="12" t="n"/>
      <c r="R9" s="15" t="n">
        <v>-0.005731487055990367</v>
      </c>
    </row>
    <row r="10">
      <c r="A10" s="10" t="inlineStr">
        <is>
          <t>GRD</t>
        </is>
      </c>
      <c r="B10" s="10" t="inlineStr">
        <is>
          <t>Gridiron 27</t>
        </is>
      </c>
      <c r="C10" s="10" t="inlineStr">
        <is>
          <t>GRD-SKILLS-CHAL</t>
        </is>
      </c>
      <c r="D10" s="10" t="inlineStr">
        <is>
          <t>Sponsored skills challenge</t>
        </is>
      </c>
      <c r="E10" s="10" t="inlineStr">
        <is>
          <t>display</t>
        </is>
      </c>
      <c r="F10" s="16" t="n">
        <v>46275</v>
      </c>
      <c r="G10" s="10" t="b">
        <v>1</v>
      </c>
      <c r="H10" s="11" t="n">
        <v>22387</v>
      </c>
      <c r="I10" s="11" t="n">
        <v>17948</v>
      </c>
      <c r="J10" s="12" t="n">
        <v>0.8017152811899764</v>
      </c>
      <c r="K10" s="11" t="n">
        <v>17852</v>
      </c>
      <c r="L10" s="11" t="n">
        <v>6675</v>
      </c>
      <c r="M10" s="11" t="n">
        <v>11177</v>
      </c>
      <c r="N10" s="12" t="n">
        <v>0.2981641131013535</v>
      </c>
      <c r="O10" s="12" t="n">
        <v>0.979625468164794</v>
      </c>
      <c r="P10" s="11" t="n">
        <v>5421</v>
      </c>
      <c r="Q10" s="12" t="n"/>
      <c r="R10" s="15" t="n">
        <v>-0.005348785379986628</v>
      </c>
    </row>
    <row r="11">
      <c r="A11" s="10" t="inlineStr">
        <is>
          <t>HTL</t>
        </is>
      </c>
      <c r="B11" s="10" t="inlineStr">
        <is>
          <t>Hometown Life</t>
        </is>
      </c>
      <c r="C11" s="10" t="inlineStr">
        <is>
          <t>HTL-INTERSTITIAL</t>
        </is>
      </c>
      <c r="D11" s="10" t="inlineStr">
        <is>
          <t>Interstitial</t>
        </is>
      </c>
      <c r="E11" s="10" t="inlineStr">
        <is>
          <t>display</t>
        </is>
      </c>
      <c r="F11" s="16" t="n">
        <v>45853</v>
      </c>
      <c r="G11" s="10" t="b">
        <v>0</v>
      </c>
      <c r="H11" s="11" t="n">
        <v>61958</v>
      </c>
      <c r="I11" s="11" t="n">
        <v>50931</v>
      </c>
      <c r="J11" s="12" t="n">
        <v>0.8220245973078537</v>
      </c>
      <c r="K11" s="11" t="n">
        <v>49438</v>
      </c>
      <c r="L11" s="11" t="n">
        <v>23628</v>
      </c>
      <c r="M11" s="11" t="n">
        <v>25810</v>
      </c>
      <c r="N11" s="12" t="n">
        <v>0.3813551115271636</v>
      </c>
      <c r="O11" s="12" t="n">
        <v>0.9973336719146775</v>
      </c>
      <c r="P11" s="11" t="n">
        <v>13152</v>
      </c>
      <c r="Q11" s="12" t="n"/>
      <c r="R11" s="15" t="n">
        <v>-0.02931417015177397</v>
      </c>
    </row>
    <row r="12">
      <c r="A12" s="10" t="inlineStr">
        <is>
          <t>HTL</t>
        </is>
      </c>
      <c r="B12" s="10" t="inlineStr">
        <is>
          <t>Hometown Life</t>
        </is>
      </c>
      <c r="C12" s="10" t="inlineStr">
        <is>
          <t>HTL-REWARDED-VID</t>
        </is>
      </c>
      <c r="D12" s="10" t="inlineStr">
        <is>
          <t>Rewarded video</t>
        </is>
      </c>
      <c r="E12" s="10" t="inlineStr">
        <is>
          <t>video</t>
        </is>
      </c>
      <c r="F12" s="16" t="n">
        <v>45853</v>
      </c>
      <c r="G12" s="10" t="b">
        <v>0</v>
      </c>
      <c r="H12" s="11" t="n">
        <v>73058</v>
      </c>
      <c r="I12" s="11" t="n">
        <v>63478</v>
      </c>
      <c r="J12" s="12" t="n">
        <v>0.8688713077281064</v>
      </c>
      <c r="K12" s="11" t="n">
        <v>61599</v>
      </c>
      <c r="L12" s="11" t="n">
        <v>39300</v>
      </c>
      <c r="M12" s="11" t="n">
        <v>22299</v>
      </c>
      <c r="N12" s="12" t="n">
        <v>0.5379287689233212</v>
      </c>
      <c r="O12" s="12" t="n">
        <v>0.992086513994911</v>
      </c>
      <c r="P12" s="11" t="n">
        <v>17436</v>
      </c>
      <c r="Q12" s="12" t="n">
        <v>0.9306615776081425</v>
      </c>
      <c r="R12" s="15" t="n">
        <v>-0.02960080657865717</v>
      </c>
    </row>
    <row r="13">
      <c r="A13" s="10" t="inlineStr">
        <is>
          <t>PFC</t>
        </is>
      </c>
      <c r="B13" s="10" t="inlineStr">
        <is>
          <t>Pitch FC 27</t>
        </is>
      </c>
      <c r="C13" s="10" t="inlineStr">
        <is>
          <t>PFC-HALFTIME-VID</t>
        </is>
      </c>
      <c r="D13" s="10" t="inlineStr">
        <is>
          <t>Halftime video</t>
        </is>
      </c>
      <c r="E13" s="10" t="inlineStr">
        <is>
          <t>video</t>
        </is>
      </c>
      <c r="F13" s="16" t="n">
        <v>45853</v>
      </c>
      <c r="G13" s="10" t="b">
        <v>0</v>
      </c>
      <c r="H13" s="11" t="n">
        <v>40322</v>
      </c>
      <c r="I13" s="11" t="n">
        <v>34838</v>
      </c>
      <c r="J13" s="12" t="n">
        <v>0.8639948415257179</v>
      </c>
      <c r="K13" s="11" t="n">
        <v>34635</v>
      </c>
      <c r="L13" s="11" t="n">
        <v>19746</v>
      </c>
      <c r="M13" s="11" t="n">
        <v>13720</v>
      </c>
      <c r="N13" s="12" t="n">
        <v>0.4897078517930658</v>
      </c>
      <c r="O13" s="12" t="n">
        <v>0.957054593335359</v>
      </c>
      <c r="P13" s="11" t="n">
        <v>13157</v>
      </c>
      <c r="Q13" s="12" t="n">
        <v>0.619062088524258</v>
      </c>
      <c r="R13" s="15" t="n">
        <v>-0.00582697054940008</v>
      </c>
    </row>
    <row r="14">
      <c r="A14" s="10" t="inlineStr">
        <is>
          <t>PFC</t>
        </is>
      </c>
      <c r="B14" s="10" t="inlineStr">
        <is>
          <t>Pitch FC 27</t>
        </is>
      </c>
      <c r="C14" s="10" t="inlineStr">
        <is>
          <t>PFC-KIT-SPONSOR</t>
        </is>
      </c>
      <c r="D14" s="10" t="inlineStr">
        <is>
          <t>Kit sponsor overlay</t>
        </is>
      </c>
      <c r="E14" s="10" t="inlineStr">
        <is>
          <t>display</t>
        </is>
      </c>
      <c r="F14" s="16" t="n">
        <v>45853</v>
      </c>
      <c r="G14" s="10" t="b">
        <v>0</v>
      </c>
      <c r="H14" s="11" t="n">
        <v>64299</v>
      </c>
      <c r="I14" s="11" t="n">
        <v>56073</v>
      </c>
      <c r="J14" s="12" t="n">
        <v>0.8720664396024822</v>
      </c>
      <c r="K14" s="11" t="n">
        <v>55758</v>
      </c>
      <c r="L14" s="11" t="n">
        <v>36991</v>
      </c>
      <c r="M14" s="11" t="n">
        <v>18767</v>
      </c>
      <c r="N14" s="12" t="n">
        <v>0.5752966609123004</v>
      </c>
      <c r="O14" s="12" t="n">
        <v>0.2904219945392122</v>
      </c>
      <c r="P14" s="11" t="n">
        <v>19879</v>
      </c>
      <c r="Q14" s="12" t="n"/>
      <c r="R14" s="15" t="n">
        <v>-0.00561767695682414</v>
      </c>
    </row>
    <row r="15">
      <c r="A15" s="10" t="inlineStr">
        <is>
          <t>PFC</t>
        </is>
      </c>
      <c r="B15" s="10" t="inlineStr">
        <is>
          <t>Pitch FC 27</t>
        </is>
      </c>
      <c r="C15" s="10" t="inlineStr">
        <is>
          <t>PFC-LED-STADIUM</t>
        </is>
      </c>
      <c r="D15" s="10" t="inlineStr">
        <is>
          <t>Stadium LED boards</t>
        </is>
      </c>
      <c r="E15" s="10" t="inlineStr">
        <is>
          <t>display</t>
        </is>
      </c>
      <c r="F15" s="16" t="n">
        <v>45853</v>
      </c>
      <c r="G15" s="10" t="b">
        <v>0</v>
      </c>
      <c r="H15" s="11" t="n">
        <v>117921</v>
      </c>
      <c r="I15" s="11" t="n">
        <v>96961</v>
      </c>
      <c r="J15" s="12" t="n">
        <v>0.8222538818361446</v>
      </c>
      <c r="K15" s="11" t="n">
        <v>96388</v>
      </c>
      <c r="L15" s="11" t="n">
        <v>49771</v>
      </c>
      <c r="M15" s="11" t="n">
        <v>43195</v>
      </c>
      <c r="N15" s="12" t="n">
        <v>0.422070708355594</v>
      </c>
      <c r="O15" s="12" t="n">
        <v>0.6851379317273111</v>
      </c>
      <c r="P15" s="11" t="n">
        <v>23655</v>
      </c>
      <c r="Q15" s="12" t="n"/>
      <c r="R15" s="15" t="n">
        <v>-0.005909592516578831</v>
      </c>
    </row>
  </sheetData>
  <conditionalFormatting sqref="O5:O15">
    <cfRule type="cellIs" priority="1" operator="lessThan" dxfId="0">
      <formula>0.7</formula>
    </cfRule>
  </conditionalFormatting>
  <conditionalFormatting sqref="A5:R15">
    <cfRule type="expression" priority="2" dxfId="3">
      <formula>$G5=TRUE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9" customWidth="1" min="3" max="3"/>
    <col width="13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Frequency Distribution</t>
        </is>
      </c>
    </row>
    <row r="2">
      <c r="A2" s="2" t="inlineStr">
        <is>
          <t>Paid in-flight impressions per player in the month, by title.</t>
        </is>
      </c>
    </row>
    <row r="3"/>
    <row r="4" ht="30" customHeight="1">
      <c r="A4" s="9" t="inlineStr">
        <is>
          <t>Title Id</t>
        </is>
      </c>
      <c r="B4" s="9" t="inlineStr">
        <is>
          <t>Frequency Bucket</t>
        </is>
      </c>
      <c r="C4" s="9" t="inlineStr">
        <is>
          <t>Players</t>
        </is>
      </c>
      <c r="D4" s="9" t="inlineStr">
        <is>
          <t>Impressions</t>
        </is>
      </c>
      <c r="E4" s="9" t="inlineStr">
        <is>
          <t>Share Of Reach</t>
        </is>
      </c>
      <c r="F4" s="9" t="inlineStr">
        <is>
          <t>Share Of Impressions</t>
        </is>
      </c>
      <c r="G4" s="9" t="inlineStr">
        <is>
          <t>Cumulative Share Of Reach</t>
        </is>
      </c>
    </row>
    <row r="5">
      <c r="A5" s="10" t="inlineStr">
        <is>
          <t>DZL</t>
        </is>
      </c>
      <c r="B5" s="10" t="inlineStr">
        <is>
          <t>01</t>
        </is>
      </c>
      <c r="C5" s="11" t="n">
        <v>18605</v>
      </c>
      <c r="D5" s="11" t="n">
        <v>18605</v>
      </c>
      <c r="E5" s="12" t="n">
        <v>0.5211338617965884</v>
      </c>
      <c r="F5" s="12" t="n">
        <v>0.228526156756292</v>
      </c>
      <c r="G5" s="12" t="n">
        <v>0.5211338617965884</v>
      </c>
    </row>
    <row r="6">
      <c r="A6" s="10" t="inlineStr">
        <is>
          <t>DZL</t>
        </is>
      </c>
      <c r="B6" s="10" t="inlineStr">
        <is>
          <t>02</t>
        </is>
      </c>
      <c r="C6" s="11" t="n">
        <v>7879</v>
      </c>
      <c r="D6" s="11" t="n">
        <v>15758</v>
      </c>
      <c r="E6" s="12" t="n">
        <v>0.2206940982045321</v>
      </c>
      <c r="F6" s="12" t="n">
        <v>0.1935563116455603</v>
      </c>
      <c r="G6" s="12" t="n">
        <v>0.7418279600011204</v>
      </c>
    </row>
    <row r="7">
      <c r="A7" s="10" t="inlineStr">
        <is>
          <t>DZL</t>
        </is>
      </c>
      <c r="B7" s="10" t="inlineStr">
        <is>
          <t>03</t>
        </is>
      </c>
      <c r="C7" s="11" t="n">
        <v>3699</v>
      </c>
      <c r="D7" s="11" t="n">
        <v>11097</v>
      </c>
      <c r="E7" s="12" t="n">
        <v>0.1036105431220414</v>
      </c>
      <c r="F7" s="12" t="n">
        <v>0.1363050127129574</v>
      </c>
      <c r="G7" s="12" t="n">
        <v>0.8454385031231618</v>
      </c>
    </row>
    <row r="8">
      <c r="A8" s="10" t="inlineStr">
        <is>
          <t>DZL</t>
        </is>
      </c>
      <c r="B8" s="10" t="inlineStr">
        <is>
          <t>04-05</t>
        </is>
      </c>
      <c r="C8" s="11" t="n">
        <v>3138</v>
      </c>
      <c r="D8" s="11" t="n">
        <v>13694</v>
      </c>
      <c r="E8" s="12" t="n">
        <v>0.0878966975714966</v>
      </c>
      <c r="F8" s="12" t="n">
        <v>0.1682040951690762</v>
      </c>
      <c r="G8" s="12" t="n">
        <v>0.9333352006946584</v>
      </c>
    </row>
    <row r="9">
      <c r="A9" s="10" t="inlineStr">
        <is>
          <t>DZL</t>
        </is>
      </c>
      <c r="B9" s="10" t="inlineStr">
        <is>
          <t>06-10</t>
        </is>
      </c>
      <c r="C9" s="11" t="n">
        <v>1834</v>
      </c>
      <c r="D9" s="11" t="n">
        <v>13355</v>
      </c>
      <c r="E9" s="12" t="n">
        <v>0.05137111005293969</v>
      </c>
      <c r="F9" s="12" t="n">
        <v>0.1640401410094211</v>
      </c>
      <c r="G9" s="12" t="n">
        <v>0.9847063107475981</v>
      </c>
    </row>
    <row r="10">
      <c r="A10" s="10" t="inlineStr">
        <is>
          <t>DZL</t>
        </is>
      </c>
      <c r="B10" s="10" t="inlineStr">
        <is>
          <t>11-20</t>
        </is>
      </c>
      <c r="C10" s="11" t="n">
        <v>458</v>
      </c>
      <c r="D10" s="11" t="n">
        <v>6229</v>
      </c>
      <c r="E10" s="12" t="n">
        <v>0.01282877230329683</v>
      </c>
      <c r="F10" s="12" t="n">
        <v>0.07651112230233501</v>
      </c>
      <c r="G10" s="12" t="n">
        <v>0.9975350830508949</v>
      </c>
    </row>
    <row r="11">
      <c r="A11" s="10" t="inlineStr">
        <is>
          <t>DZL</t>
        </is>
      </c>
      <c r="B11" s="10" t="inlineStr">
        <is>
          <t>21+</t>
        </is>
      </c>
      <c r="C11" s="11" t="n">
        <v>88</v>
      </c>
      <c r="D11" s="11" t="n">
        <v>2675</v>
      </c>
      <c r="E11" s="12" t="n">
        <v>0.002464916949105067</v>
      </c>
      <c r="F11" s="12" t="n">
        <v>0.03285716040435803</v>
      </c>
      <c r="G11" s="12" t="n">
        <v>1</v>
      </c>
    </row>
    <row r="12">
      <c r="A12" s="10" t="inlineStr">
        <is>
          <t>GRD</t>
        </is>
      </c>
      <c r="B12" s="10" t="inlineStr">
        <is>
          <t>01</t>
        </is>
      </c>
      <c r="C12" s="11" t="n">
        <v>12024</v>
      </c>
      <c r="D12" s="11" t="n">
        <v>12024</v>
      </c>
      <c r="E12" s="12" t="n">
        <v>0.4357469015003261</v>
      </c>
      <c r="F12" s="12" t="n">
        <v>0.1503206690920001</v>
      </c>
      <c r="G12" s="12" t="n">
        <v>0.4357469015003261</v>
      </c>
    </row>
    <row r="13">
      <c r="A13" s="10" t="inlineStr">
        <is>
          <t>GRD</t>
        </is>
      </c>
      <c r="B13" s="10" t="inlineStr">
        <is>
          <t>02</t>
        </is>
      </c>
      <c r="C13" s="11" t="n">
        <v>6061</v>
      </c>
      <c r="D13" s="11" t="n">
        <v>12122</v>
      </c>
      <c r="E13" s="12" t="n">
        <v>0.2196491991012539</v>
      </c>
      <c r="F13" s="12" t="n">
        <v>0.1515458375526635</v>
      </c>
      <c r="G13" s="12" t="n">
        <v>0.65539610060158</v>
      </c>
    </row>
    <row r="14">
      <c r="A14" s="10" t="inlineStr">
        <is>
          <t>GRD</t>
        </is>
      </c>
      <c r="B14" s="10" t="inlineStr">
        <is>
          <t>03</t>
        </is>
      </c>
      <c r="C14" s="11" t="n">
        <v>3220</v>
      </c>
      <c r="D14" s="11" t="n">
        <v>9660</v>
      </c>
      <c r="E14" s="12" t="n">
        <v>0.1166920345002537</v>
      </c>
      <c r="F14" s="12" t="n">
        <v>0.1207666054082436</v>
      </c>
      <c r="G14" s="12" t="n">
        <v>0.7720881351018337</v>
      </c>
    </row>
    <row r="15">
      <c r="A15" s="10" t="inlineStr">
        <is>
          <t>GRD</t>
        </is>
      </c>
      <c r="B15" s="10" t="inlineStr">
        <is>
          <t>04-05</t>
        </is>
      </c>
      <c r="C15" s="11" t="n">
        <v>3184</v>
      </c>
      <c r="D15" s="11" t="n">
        <v>13985</v>
      </c>
      <c r="E15" s="12" t="n">
        <v>0.1153874030586359</v>
      </c>
      <c r="F15" s="12" t="n">
        <v>0.1748365400242533</v>
      </c>
      <c r="G15" s="12" t="n">
        <v>0.8874755381604696</v>
      </c>
    </row>
    <row r="16">
      <c r="A16" s="10" t="inlineStr">
        <is>
          <t>GRD</t>
        </is>
      </c>
      <c r="B16" s="10" t="inlineStr">
        <is>
          <t>06-10</t>
        </is>
      </c>
      <c r="C16" s="11" t="n">
        <v>2198</v>
      </c>
      <c r="D16" s="11" t="n">
        <v>16204</v>
      </c>
      <c r="E16" s="12" t="n">
        <v>0.07965499746321664</v>
      </c>
      <c r="F16" s="12" t="n">
        <v>0.2025778544549875</v>
      </c>
      <c r="G16" s="12" t="n">
        <v>0.9671305356236863</v>
      </c>
    </row>
    <row r="17">
      <c r="A17" s="10" t="inlineStr">
        <is>
          <t>GRD</t>
        </is>
      </c>
      <c r="B17" s="10" t="inlineStr">
        <is>
          <t>11-20</t>
        </is>
      </c>
      <c r="C17" s="11" t="n">
        <v>710</v>
      </c>
      <c r="D17" s="11" t="n">
        <v>9855</v>
      </c>
      <c r="E17" s="12" t="n">
        <v>0.02573023120968326</v>
      </c>
      <c r="F17" s="12" t="n">
        <v>0.123204440610584</v>
      </c>
      <c r="G17" s="12" t="n">
        <v>0.9928607668333695</v>
      </c>
    </row>
    <row r="18">
      <c r="A18" s="10" t="inlineStr">
        <is>
          <t>GRD</t>
        </is>
      </c>
      <c r="B18" s="10" t="inlineStr">
        <is>
          <t>21+</t>
        </is>
      </c>
      <c r="C18" s="11" t="n">
        <v>197</v>
      </c>
      <c r="D18" s="11" t="n">
        <v>6139</v>
      </c>
      <c r="E18" s="12" t="n">
        <v>0.007139233166630427</v>
      </c>
      <c r="F18" s="12" t="n">
        <v>0.07674805285726788</v>
      </c>
      <c r="G18" s="12" t="n">
        <v>1</v>
      </c>
    </row>
    <row r="19">
      <c r="A19" s="10" t="inlineStr">
        <is>
          <t>HTL</t>
        </is>
      </c>
      <c r="B19" s="10" t="inlineStr">
        <is>
          <t>01</t>
        </is>
      </c>
      <c r="C19" s="11" t="n">
        <v>9560</v>
      </c>
      <c r="D19" s="11" t="n">
        <v>9560</v>
      </c>
      <c r="E19" s="12" t="n">
        <v>0.4351388256713701</v>
      </c>
      <c r="F19" s="12" t="n">
        <v>0.1522511187909095</v>
      </c>
      <c r="G19" s="12" t="n">
        <v>0.4351388256713701</v>
      </c>
    </row>
    <row r="20">
      <c r="A20" s="10" t="inlineStr">
        <is>
          <t>HTL</t>
        </is>
      </c>
      <c r="B20" s="10" t="inlineStr">
        <is>
          <t>02</t>
        </is>
      </c>
      <c r="C20" s="11" t="n">
        <v>4867</v>
      </c>
      <c r="D20" s="11" t="n">
        <v>9734</v>
      </c>
      <c r="E20" s="12" t="n">
        <v>0.2215293582157488</v>
      </c>
      <c r="F20" s="12" t="n">
        <v>0.1550222165596981</v>
      </c>
      <c r="G20" s="12" t="n">
        <v>0.6566681838871188</v>
      </c>
    </row>
    <row r="21">
      <c r="A21" s="10" t="inlineStr">
        <is>
          <t>HTL</t>
        </is>
      </c>
      <c r="B21" s="10" t="inlineStr">
        <is>
          <t>03</t>
        </is>
      </c>
      <c r="C21" s="11" t="n">
        <v>2589</v>
      </c>
      <c r="D21" s="11" t="n">
        <v>7767</v>
      </c>
      <c r="E21" s="12" t="n">
        <v>0.1178425125170687</v>
      </c>
      <c r="F21" s="12" t="n">
        <v>0.123696071092991</v>
      </c>
      <c r="G21" s="12" t="n">
        <v>0.7745106964041876</v>
      </c>
    </row>
    <row r="22">
      <c r="A22" s="10" t="inlineStr">
        <is>
          <t>HTL</t>
        </is>
      </c>
      <c r="B22" s="10" t="inlineStr">
        <is>
          <t>04-05</t>
        </is>
      </c>
      <c r="C22" s="11" t="n">
        <v>2461</v>
      </c>
      <c r="D22" s="11" t="n">
        <v>10746</v>
      </c>
      <c r="E22" s="12" t="n">
        <v>0.112016385980883</v>
      </c>
      <c r="F22" s="12" t="n">
        <v>0.17113917599656</v>
      </c>
      <c r="G22" s="12" t="n">
        <v>0.8865270823850705</v>
      </c>
    </row>
    <row r="23">
      <c r="A23" s="10" t="inlineStr">
        <is>
          <t>HTL</t>
        </is>
      </c>
      <c r="B23" s="10" t="inlineStr">
        <is>
          <t>06-10</t>
        </is>
      </c>
      <c r="C23" s="11" t="n">
        <v>1803</v>
      </c>
      <c r="D23" s="11" t="n">
        <v>13197</v>
      </c>
      <c r="E23" s="12" t="n">
        <v>0.08206645425580336</v>
      </c>
      <c r="F23" s="12" t="n">
        <v>0.210173432498288</v>
      </c>
      <c r="G23" s="12" t="n">
        <v>0.9685935366408739</v>
      </c>
    </row>
    <row r="24">
      <c r="A24" s="10" t="inlineStr">
        <is>
          <t>HTL</t>
        </is>
      </c>
      <c r="B24" s="10" t="inlineStr">
        <is>
          <t>11-20</t>
        </is>
      </c>
      <c r="C24" s="11" t="n">
        <v>551</v>
      </c>
      <c r="D24" s="11" t="n">
        <v>7607</v>
      </c>
      <c r="E24" s="12" t="n">
        <v>0.02507965407373691</v>
      </c>
      <c r="F24" s="12" t="n">
        <v>0.1211479352136453</v>
      </c>
      <c r="G24" s="12" t="n">
        <v>0.9936731907146108</v>
      </c>
    </row>
    <row r="25">
      <c r="A25" s="10" t="inlineStr">
        <is>
          <t>HTL</t>
        </is>
      </c>
      <c r="B25" s="10" t="inlineStr">
        <is>
          <t>21+</t>
        </is>
      </c>
      <c r="C25" s="11" t="n">
        <v>139</v>
      </c>
      <c r="D25" s="11" t="n">
        <v>4180</v>
      </c>
      <c r="E25" s="12" t="n">
        <v>0.006326809285389167</v>
      </c>
      <c r="F25" s="12" t="n">
        <v>0.06657004984790814</v>
      </c>
      <c r="G25" s="12" t="n">
        <v>1</v>
      </c>
    </row>
    <row r="26">
      <c r="A26" s="10" t="inlineStr">
        <is>
          <t>PFC</t>
        </is>
      </c>
      <c r="B26" s="10" t="inlineStr">
        <is>
          <t>01</t>
        </is>
      </c>
      <c r="C26" s="11" t="n">
        <v>14241</v>
      </c>
      <c r="D26" s="11" t="n">
        <v>14241</v>
      </c>
      <c r="E26" s="12" t="n">
        <v>0.4143680167597765</v>
      </c>
      <c r="F26" s="12" t="n">
        <v>0.1339938465012561</v>
      </c>
      <c r="G26" s="12" t="n">
        <v>0.4143680167597765</v>
      </c>
    </row>
    <row r="27">
      <c r="A27" s="10" t="inlineStr">
        <is>
          <t>PFC</t>
        </is>
      </c>
      <c r="B27" s="10" t="inlineStr">
        <is>
          <t>02</t>
        </is>
      </c>
      <c r="C27" s="11" t="n">
        <v>7416</v>
      </c>
      <c r="D27" s="11" t="n">
        <v>14832</v>
      </c>
      <c r="E27" s="12" t="n">
        <v>0.2157821229050279</v>
      </c>
      <c r="F27" s="12" t="n">
        <v>0.139554577017529</v>
      </c>
      <c r="G27" s="12" t="n">
        <v>0.6301501396648045</v>
      </c>
    </row>
    <row r="28">
      <c r="A28" s="10" t="inlineStr">
        <is>
          <t>PFC</t>
        </is>
      </c>
      <c r="B28" s="10" t="inlineStr">
        <is>
          <t>03</t>
        </is>
      </c>
      <c r="C28" s="11" t="n">
        <v>4160</v>
      </c>
      <c r="D28" s="11" t="n">
        <v>12480</v>
      </c>
      <c r="E28" s="12" t="n">
        <v>0.1210428305400372</v>
      </c>
      <c r="F28" s="12" t="n">
        <v>0.1174245631862704</v>
      </c>
      <c r="G28" s="12" t="n">
        <v>0.7511929702048417</v>
      </c>
    </row>
    <row r="29">
      <c r="A29" s="10" t="inlineStr">
        <is>
          <t>PFC</t>
        </is>
      </c>
      <c r="B29" s="10" t="inlineStr">
        <is>
          <t>04-05</t>
        </is>
      </c>
      <c r="C29" s="11" t="n">
        <v>4144</v>
      </c>
      <c r="D29" s="11" t="n">
        <v>18205</v>
      </c>
      <c r="E29" s="12" t="n">
        <v>0.1205772811918063</v>
      </c>
      <c r="F29" s="12" t="n">
        <v>0.1712911997440747</v>
      </c>
      <c r="G29" s="12" t="n">
        <v>0.8717702513966481</v>
      </c>
    </row>
    <row r="30">
      <c r="A30" s="10" t="inlineStr">
        <is>
          <t>PFC</t>
        </is>
      </c>
      <c r="B30" s="10" t="inlineStr">
        <is>
          <t>06-10</t>
        </is>
      </c>
      <c r="C30" s="11" t="n">
        <v>3095</v>
      </c>
      <c r="D30" s="11" t="n">
        <v>22922</v>
      </c>
      <c r="E30" s="12" t="n">
        <v>0.09005470204841713</v>
      </c>
      <c r="F30" s="12" t="n">
        <v>0.215673544659911</v>
      </c>
      <c r="G30" s="12" t="n">
        <v>0.9618249534450651</v>
      </c>
    </row>
    <row r="31">
      <c r="A31" s="10" t="inlineStr">
        <is>
          <t>PFC</t>
        </is>
      </c>
      <c r="B31" s="10" t="inlineStr">
        <is>
          <t>11-20</t>
        </is>
      </c>
      <c r="C31" s="11" t="n">
        <v>1041</v>
      </c>
      <c r="D31" s="11" t="n">
        <v>14403</v>
      </c>
      <c r="E31" s="12" t="n">
        <v>0.03028980446927374</v>
      </c>
      <c r="F31" s="12" t="n">
        <v>0.135518107658001</v>
      </c>
      <c r="G31" s="12" t="n">
        <v>0.9921147579143389</v>
      </c>
    </row>
    <row r="32">
      <c r="A32" s="10" t="inlineStr">
        <is>
          <t>PFC</t>
        </is>
      </c>
      <c r="B32" s="10" t="inlineStr">
        <is>
          <t>21+</t>
        </is>
      </c>
      <c r="C32" s="11" t="n">
        <v>271</v>
      </c>
      <c r="D32" s="11" t="n">
        <v>9198</v>
      </c>
      <c r="E32" s="12" t="n">
        <v>0.00788524208566108</v>
      </c>
      <c r="F32" s="12" t="n">
        <v>0.08654416123295791</v>
      </c>
      <c r="G32" s="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Daily Trend</t>
        </is>
      </c>
    </row>
    <row r="2">
      <c r="A2" s="2" t="inlineStr">
        <is>
          <t>Paid in-flight impressions by title and day.</t>
        </is>
      </c>
    </row>
    <row r="3"/>
    <row r="4" ht="30" customHeight="1">
      <c r="A4" s="9" t="inlineStr">
        <is>
          <t>Title Id</t>
        </is>
      </c>
      <c r="B4" s="9" t="inlineStr">
        <is>
          <t>Event Date</t>
        </is>
      </c>
      <c r="C4" s="9" t="inlineStr">
        <is>
          <t>Paid Impressions</t>
        </is>
      </c>
      <c r="D4" s="9" t="inlineStr">
        <is>
          <t>Viewable Impressions</t>
        </is>
      </c>
      <c r="E4" s="9" t="inlineStr">
        <is>
          <t>Daily Unique Reach</t>
        </is>
      </c>
      <c r="F4" s="9" t="inlineStr">
        <is>
          <t>Paid Impressions 7D Avg</t>
        </is>
      </c>
    </row>
    <row r="5">
      <c r="A5" s="10" t="inlineStr">
        <is>
          <t>DZL</t>
        </is>
      </c>
      <c r="B5" s="16" t="n">
        <v>46266</v>
      </c>
      <c r="C5" s="11" t="n">
        <v>1655</v>
      </c>
      <c r="D5" s="11" t="n">
        <v>1348</v>
      </c>
      <c r="E5" s="11" t="n">
        <v>1594</v>
      </c>
      <c r="F5" s="11" t="n">
        <v>1655</v>
      </c>
    </row>
    <row r="6">
      <c r="A6" s="10" t="inlineStr">
        <is>
          <t>DZL</t>
        </is>
      </c>
      <c r="B6" s="16" t="n">
        <v>46267</v>
      </c>
      <c r="C6" s="11" t="n">
        <v>1682</v>
      </c>
      <c r="D6" s="11" t="n">
        <v>1360</v>
      </c>
      <c r="E6" s="11" t="n">
        <v>1600</v>
      </c>
      <c r="F6" s="11" t="n">
        <v>1668.5</v>
      </c>
    </row>
    <row r="7">
      <c r="A7" s="10" t="inlineStr">
        <is>
          <t>DZL</t>
        </is>
      </c>
      <c r="B7" s="16" t="n">
        <v>46268</v>
      </c>
      <c r="C7" s="11" t="n">
        <v>1742</v>
      </c>
      <c r="D7" s="11" t="n">
        <v>1404</v>
      </c>
      <c r="E7" s="11" t="n">
        <v>1672</v>
      </c>
      <c r="F7" s="11" t="n">
        <v>1693</v>
      </c>
    </row>
    <row r="8">
      <c r="A8" s="10" t="inlineStr">
        <is>
          <t>DZL</t>
        </is>
      </c>
      <c r="B8" s="16" t="n">
        <v>46269</v>
      </c>
      <c r="C8" s="11" t="n">
        <v>1641</v>
      </c>
      <c r="D8" s="11" t="n">
        <v>1324</v>
      </c>
      <c r="E8" s="11" t="n">
        <v>1595</v>
      </c>
      <c r="F8" s="11" t="n">
        <v>1680</v>
      </c>
    </row>
    <row r="9">
      <c r="A9" s="10" t="inlineStr">
        <is>
          <t>DZL</t>
        </is>
      </c>
      <c r="B9" s="16" t="n">
        <v>46270</v>
      </c>
      <c r="C9" s="11" t="n">
        <v>1956</v>
      </c>
      <c r="D9" s="11" t="n">
        <v>1625</v>
      </c>
      <c r="E9" s="11" t="n">
        <v>1865</v>
      </c>
      <c r="F9" s="11" t="n">
        <v>1735.2</v>
      </c>
    </row>
    <row r="10">
      <c r="A10" s="10" t="inlineStr">
        <is>
          <t>DZL</t>
        </is>
      </c>
      <c r="B10" s="16" t="n">
        <v>46271</v>
      </c>
      <c r="C10" s="11" t="n">
        <v>2068</v>
      </c>
      <c r="D10" s="11" t="n">
        <v>1688</v>
      </c>
      <c r="E10" s="11" t="n">
        <v>1957</v>
      </c>
      <c r="F10" s="11" t="n">
        <v>1790.666666666667</v>
      </c>
    </row>
    <row r="11">
      <c r="A11" s="10" t="inlineStr">
        <is>
          <t>DZL</t>
        </is>
      </c>
      <c r="B11" s="16" t="n">
        <v>46272</v>
      </c>
      <c r="C11" s="11" t="n">
        <v>1663</v>
      </c>
      <c r="D11" s="11" t="n">
        <v>1362</v>
      </c>
      <c r="E11" s="11" t="n">
        <v>1598</v>
      </c>
      <c r="F11" s="11" t="n">
        <v>1772.428571428571</v>
      </c>
    </row>
    <row r="12">
      <c r="A12" s="10" t="inlineStr">
        <is>
          <t>DZL</t>
        </is>
      </c>
      <c r="B12" s="16" t="n">
        <v>46273</v>
      </c>
      <c r="C12" s="11" t="n">
        <v>1534</v>
      </c>
      <c r="D12" s="11" t="n">
        <v>1233</v>
      </c>
      <c r="E12" s="11" t="n">
        <v>1481</v>
      </c>
      <c r="F12" s="11" t="n">
        <v>1755.142857142857</v>
      </c>
    </row>
    <row r="13">
      <c r="A13" s="10" t="inlineStr">
        <is>
          <t>DZL</t>
        </is>
      </c>
      <c r="B13" s="16" t="n">
        <v>46274</v>
      </c>
      <c r="C13" s="11" t="n">
        <v>1384</v>
      </c>
      <c r="D13" s="11" t="n">
        <v>1161</v>
      </c>
      <c r="E13" s="11" t="n">
        <v>1332</v>
      </c>
      <c r="F13" s="11" t="n">
        <v>1712.571428571429</v>
      </c>
    </row>
    <row r="14">
      <c r="A14" s="10" t="inlineStr">
        <is>
          <t>DZL</t>
        </is>
      </c>
      <c r="B14" s="16" t="n">
        <v>46275</v>
      </c>
      <c r="C14" s="11" t="n">
        <v>1685</v>
      </c>
      <c r="D14" s="11" t="n">
        <v>1351</v>
      </c>
      <c r="E14" s="11" t="n">
        <v>1619</v>
      </c>
      <c r="F14" s="11" t="n">
        <v>1704.428571428571</v>
      </c>
    </row>
    <row r="15">
      <c r="A15" s="10" t="inlineStr">
        <is>
          <t>DZL</t>
        </is>
      </c>
      <c r="B15" s="16" t="n">
        <v>46276</v>
      </c>
      <c r="C15" s="11" t="n">
        <v>1612</v>
      </c>
      <c r="D15" s="11" t="n">
        <v>1289</v>
      </c>
      <c r="E15" s="11" t="n">
        <v>1553</v>
      </c>
      <c r="F15" s="11" t="n">
        <v>1700.285714285714</v>
      </c>
    </row>
    <row r="16">
      <c r="A16" s="10" t="inlineStr">
        <is>
          <t>DZL</t>
        </is>
      </c>
      <c r="B16" s="16" t="n">
        <v>46277</v>
      </c>
      <c r="C16" s="11" t="n">
        <v>1886</v>
      </c>
      <c r="D16" s="11" t="n">
        <v>1526</v>
      </c>
      <c r="E16" s="11" t="n">
        <v>1797</v>
      </c>
      <c r="F16" s="11" t="n">
        <v>1690.285714285714</v>
      </c>
    </row>
    <row r="17">
      <c r="A17" s="10" t="inlineStr">
        <is>
          <t>DZL</t>
        </is>
      </c>
      <c r="B17" s="16" t="n">
        <v>46278</v>
      </c>
      <c r="C17" s="11" t="n">
        <v>1805</v>
      </c>
      <c r="D17" s="11" t="n">
        <v>1456</v>
      </c>
      <c r="E17" s="11" t="n">
        <v>1737</v>
      </c>
      <c r="F17" s="11" t="n">
        <v>1652.714285714286</v>
      </c>
    </row>
    <row r="18">
      <c r="A18" s="10" t="inlineStr">
        <is>
          <t>DZL</t>
        </is>
      </c>
      <c r="B18" s="16" t="n">
        <v>46279</v>
      </c>
      <c r="C18" s="11" t="n">
        <v>1628</v>
      </c>
      <c r="D18" s="11" t="n">
        <v>1316</v>
      </c>
      <c r="E18" s="11" t="n">
        <v>1566</v>
      </c>
      <c r="F18" s="11" t="n">
        <v>1647.714285714286</v>
      </c>
    </row>
    <row r="19">
      <c r="A19" s="10" t="inlineStr">
        <is>
          <t>DZL</t>
        </is>
      </c>
      <c r="B19" s="16" t="n">
        <v>46280</v>
      </c>
      <c r="C19" s="11" t="n">
        <v>2141</v>
      </c>
      <c r="D19" s="11" t="n">
        <v>1632</v>
      </c>
      <c r="E19" s="11" t="n">
        <v>2028</v>
      </c>
      <c r="F19" s="11" t="n">
        <v>1734.428571428571</v>
      </c>
    </row>
    <row r="20">
      <c r="A20" s="10" t="inlineStr">
        <is>
          <t>DZL</t>
        </is>
      </c>
      <c r="B20" s="16" t="n">
        <v>46281</v>
      </c>
      <c r="C20" s="11" t="n">
        <v>5110</v>
      </c>
      <c r="D20" s="11" t="n">
        <v>3964</v>
      </c>
      <c r="E20" s="11" t="n">
        <v>4571</v>
      </c>
      <c r="F20" s="11" t="n">
        <v>2266.714285714286</v>
      </c>
    </row>
    <row r="21">
      <c r="A21" s="10" t="inlineStr">
        <is>
          <t>DZL</t>
        </is>
      </c>
      <c r="B21" s="16" t="n">
        <v>46282</v>
      </c>
      <c r="C21" s="11" t="n">
        <v>4646</v>
      </c>
      <c r="D21" s="11" t="n">
        <v>3614</v>
      </c>
      <c r="E21" s="11" t="n">
        <v>4228</v>
      </c>
      <c r="F21" s="11" t="n">
        <v>2689.714285714286</v>
      </c>
    </row>
    <row r="22">
      <c r="A22" s="10" t="inlineStr">
        <is>
          <t>DZL</t>
        </is>
      </c>
      <c r="B22" s="16" t="n">
        <v>46283</v>
      </c>
      <c r="C22" s="11" t="n">
        <v>4752</v>
      </c>
      <c r="D22" s="11" t="n">
        <v>3648</v>
      </c>
      <c r="E22" s="11" t="n">
        <v>4267</v>
      </c>
      <c r="F22" s="11" t="n">
        <v>3138.285714285714</v>
      </c>
    </row>
    <row r="23">
      <c r="A23" s="10" t="inlineStr">
        <is>
          <t>DZL</t>
        </is>
      </c>
      <c r="B23" s="16" t="n">
        <v>46284</v>
      </c>
      <c r="C23" s="11" t="n">
        <v>5047</v>
      </c>
      <c r="D23" s="11" t="n">
        <v>4013</v>
      </c>
      <c r="E23" s="11" t="n">
        <v>4492</v>
      </c>
      <c r="F23" s="11" t="n">
        <v>3589.857142857143</v>
      </c>
    </row>
    <row r="24">
      <c r="A24" s="10" t="inlineStr">
        <is>
          <t>DZL</t>
        </is>
      </c>
      <c r="B24" s="16" t="n">
        <v>46285</v>
      </c>
      <c r="C24" s="11" t="n">
        <v>4563</v>
      </c>
      <c r="D24" s="11" t="n">
        <v>3632</v>
      </c>
      <c r="E24" s="11" t="n">
        <v>4137</v>
      </c>
      <c r="F24" s="11" t="n">
        <v>3983.857142857143</v>
      </c>
    </row>
    <row r="25">
      <c r="A25" s="10" t="inlineStr">
        <is>
          <t>DZL</t>
        </is>
      </c>
      <c r="B25" s="16" t="n">
        <v>46286</v>
      </c>
      <c r="C25" s="11" t="n">
        <v>3723</v>
      </c>
      <c r="D25" s="11" t="n">
        <v>2914</v>
      </c>
      <c r="E25" s="11" t="n">
        <v>3412</v>
      </c>
      <c r="F25" s="11" t="n">
        <v>4283.142857142857</v>
      </c>
    </row>
    <row r="26">
      <c r="A26" s="10" t="inlineStr">
        <is>
          <t>DZL</t>
        </is>
      </c>
      <c r="B26" s="16" t="n">
        <v>46287</v>
      </c>
      <c r="C26" s="11" t="n">
        <v>3838</v>
      </c>
      <c r="D26" s="11" t="n">
        <v>3021</v>
      </c>
      <c r="E26" s="11" t="n">
        <v>3526</v>
      </c>
      <c r="F26" s="11" t="n">
        <v>4525.571428571428</v>
      </c>
    </row>
    <row r="27">
      <c r="A27" s="10" t="inlineStr">
        <is>
          <t>DZL</t>
        </is>
      </c>
      <c r="B27" s="16" t="n">
        <v>46288</v>
      </c>
      <c r="C27" s="11" t="n">
        <v>3404</v>
      </c>
      <c r="D27" s="11" t="n">
        <v>2671</v>
      </c>
      <c r="E27" s="11" t="n">
        <v>3143</v>
      </c>
      <c r="F27" s="11" t="n">
        <v>4281.857142857143</v>
      </c>
    </row>
    <row r="28">
      <c r="A28" s="10" t="inlineStr">
        <is>
          <t>DZL</t>
        </is>
      </c>
      <c r="B28" s="16" t="n">
        <v>46289</v>
      </c>
      <c r="C28" s="11" t="n">
        <v>3604</v>
      </c>
      <c r="D28" s="11" t="n">
        <v>2787</v>
      </c>
      <c r="E28" s="11" t="n">
        <v>3316</v>
      </c>
      <c r="F28" s="11" t="n">
        <v>4133</v>
      </c>
    </row>
    <row r="29">
      <c r="A29" s="10" t="inlineStr">
        <is>
          <t>DZL</t>
        </is>
      </c>
      <c r="B29" s="16" t="n">
        <v>46290</v>
      </c>
      <c r="C29" s="11" t="n">
        <v>3187</v>
      </c>
      <c r="D29" s="11" t="n">
        <v>2487</v>
      </c>
      <c r="E29" s="11" t="n">
        <v>2946</v>
      </c>
      <c r="F29" s="11" t="n">
        <v>3909.428571428572</v>
      </c>
    </row>
    <row r="30">
      <c r="A30" s="10" t="inlineStr">
        <is>
          <t>DZL</t>
        </is>
      </c>
      <c r="B30" s="16" t="n">
        <v>46291</v>
      </c>
      <c r="C30" s="11" t="n">
        <v>3153</v>
      </c>
      <c r="D30" s="11" t="n">
        <v>2407</v>
      </c>
      <c r="E30" s="11" t="n">
        <v>2948</v>
      </c>
      <c r="F30" s="11" t="n">
        <v>3638.857142857143</v>
      </c>
    </row>
    <row r="31">
      <c r="A31" s="10" t="inlineStr">
        <is>
          <t>DZL</t>
        </is>
      </c>
      <c r="B31" s="16" t="n">
        <v>46292</v>
      </c>
      <c r="C31" s="11" t="n">
        <v>3425</v>
      </c>
      <c r="D31" s="11" t="n">
        <v>2660</v>
      </c>
      <c r="E31" s="11" t="n">
        <v>3164</v>
      </c>
      <c r="F31" s="11" t="n">
        <v>3476.285714285714</v>
      </c>
    </row>
    <row r="32">
      <c r="A32" s="10" t="inlineStr">
        <is>
          <t>DZL</t>
        </is>
      </c>
      <c r="B32" s="16" t="n">
        <v>46293</v>
      </c>
      <c r="C32" s="11" t="n">
        <v>2287</v>
      </c>
      <c r="D32" s="11" t="n">
        <v>1703</v>
      </c>
      <c r="E32" s="11" t="n">
        <v>2164</v>
      </c>
      <c r="F32" s="11" t="n">
        <v>3271.142857142857</v>
      </c>
    </row>
    <row r="33">
      <c r="A33" s="10" t="inlineStr">
        <is>
          <t>DZL</t>
        </is>
      </c>
      <c r="B33" s="16" t="n">
        <v>46294</v>
      </c>
      <c r="C33" s="11" t="n">
        <v>2473</v>
      </c>
      <c r="D33" s="11" t="n">
        <v>1872</v>
      </c>
      <c r="E33" s="11" t="n">
        <v>2328</v>
      </c>
      <c r="F33" s="11" t="n">
        <v>3076.142857142857</v>
      </c>
    </row>
    <row r="34">
      <c r="A34" s="10" t="inlineStr">
        <is>
          <t>DZL</t>
        </is>
      </c>
      <c r="B34" s="16" t="n">
        <v>46295</v>
      </c>
      <c r="C34" s="11" t="n">
        <v>2276</v>
      </c>
      <c r="D34" s="11" t="n">
        <v>1731</v>
      </c>
      <c r="E34" s="11" t="n">
        <v>2161</v>
      </c>
      <c r="F34" s="11" t="n">
        <v>2915</v>
      </c>
    </row>
    <row r="35">
      <c r="A35" s="10" t="inlineStr">
        <is>
          <t>GRD</t>
        </is>
      </c>
      <c r="B35" s="16" t="n">
        <v>46266</v>
      </c>
      <c r="C35" s="11" t="n">
        <v>2193</v>
      </c>
      <c r="D35" s="11" t="n">
        <v>1760</v>
      </c>
      <c r="E35" s="11" t="n">
        <v>2019</v>
      </c>
      <c r="F35" s="11" t="n">
        <v>2193</v>
      </c>
    </row>
    <row r="36">
      <c r="A36" s="10" t="inlineStr">
        <is>
          <t>GRD</t>
        </is>
      </c>
      <c r="B36" s="16" t="n">
        <v>46267</v>
      </c>
      <c r="C36" s="11" t="n">
        <v>1947</v>
      </c>
      <c r="D36" s="11" t="n">
        <v>1554</v>
      </c>
      <c r="E36" s="11" t="n">
        <v>1810</v>
      </c>
      <c r="F36" s="11" t="n">
        <v>2070</v>
      </c>
    </row>
    <row r="37">
      <c r="A37" s="10" t="inlineStr">
        <is>
          <t>GRD</t>
        </is>
      </c>
      <c r="B37" s="16" t="n">
        <v>46268</v>
      </c>
      <c r="C37" s="11" t="n">
        <v>1922</v>
      </c>
      <c r="D37" s="11" t="n">
        <v>1511</v>
      </c>
      <c r="E37" s="11" t="n">
        <v>1788</v>
      </c>
      <c r="F37" s="11" t="n">
        <v>2020.666666666667</v>
      </c>
    </row>
    <row r="38">
      <c r="A38" s="10" t="inlineStr">
        <is>
          <t>GRD</t>
        </is>
      </c>
      <c r="B38" s="16" t="n">
        <v>46269</v>
      </c>
      <c r="C38" s="11" t="n">
        <v>1982</v>
      </c>
      <c r="D38" s="11" t="n">
        <v>1583</v>
      </c>
      <c r="E38" s="11" t="n">
        <v>1838</v>
      </c>
      <c r="F38" s="11" t="n">
        <v>2011</v>
      </c>
    </row>
    <row r="39">
      <c r="A39" s="10" t="inlineStr">
        <is>
          <t>GRD</t>
        </is>
      </c>
      <c r="B39" s="16" t="n">
        <v>46270</v>
      </c>
      <c r="C39" s="11" t="n">
        <v>3441</v>
      </c>
      <c r="D39" s="11" t="n">
        <v>2633</v>
      </c>
      <c r="E39" s="11" t="n">
        <v>3056</v>
      </c>
      <c r="F39" s="11" t="n">
        <v>2297</v>
      </c>
    </row>
    <row r="40">
      <c r="A40" s="10" t="inlineStr">
        <is>
          <t>GRD</t>
        </is>
      </c>
      <c r="B40" s="16" t="n">
        <v>46271</v>
      </c>
      <c r="C40" s="11" t="n">
        <v>3322</v>
      </c>
      <c r="D40" s="11" t="n">
        <v>2598</v>
      </c>
      <c r="E40" s="11" t="n">
        <v>2978</v>
      </c>
      <c r="F40" s="11" t="n">
        <v>2467.833333333333</v>
      </c>
    </row>
    <row r="41">
      <c r="A41" s="10" t="inlineStr">
        <is>
          <t>GRD</t>
        </is>
      </c>
      <c r="B41" s="16" t="n">
        <v>46272</v>
      </c>
      <c r="C41" s="11" t="n">
        <v>2592</v>
      </c>
      <c r="D41" s="11" t="n">
        <v>2040</v>
      </c>
      <c r="E41" s="11" t="n">
        <v>2352</v>
      </c>
      <c r="F41" s="11" t="n">
        <v>2485.571428571428</v>
      </c>
    </row>
    <row r="42">
      <c r="A42" s="10" t="inlineStr">
        <is>
          <t>GRD</t>
        </is>
      </c>
      <c r="B42" s="16" t="n">
        <v>46273</v>
      </c>
      <c r="C42" s="11" t="n">
        <v>2625</v>
      </c>
      <c r="D42" s="11" t="n">
        <v>2086</v>
      </c>
      <c r="E42" s="11" t="n">
        <v>2384</v>
      </c>
      <c r="F42" s="11" t="n">
        <v>2547.285714285714</v>
      </c>
    </row>
    <row r="43">
      <c r="A43" s="10" t="inlineStr">
        <is>
          <t>GRD</t>
        </is>
      </c>
      <c r="B43" s="16" t="n">
        <v>46274</v>
      </c>
      <c r="C43" s="11" t="n">
        <v>2713</v>
      </c>
      <c r="D43" s="11" t="n">
        <v>2067</v>
      </c>
      <c r="E43" s="11" t="n">
        <v>2450</v>
      </c>
      <c r="F43" s="11" t="n">
        <v>2656.714285714286</v>
      </c>
    </row>
    <row r="44">
      <c r="A44" s="10" t="inlineStr">
        <is>
          <t>GRD</t>
        </is>
      </c>
      <c r="B44" s="16" t="n">
        <v>46275</v>
      </c>
      <c r="C44" s="11" t="n">
        <v>3977</v>
      </c>
      <c r="D44" s="11" t="n">
        <v>3172</v>
      </c>
      <c r="E44" s="11" t="n">
        <v>3465</v>
      </c>
      <c r="F44" s="11" t="n">
        <v>2950.285714285714</v>
      </c>
    </row>
    <row r="45">
      <c r="A45" s="10" t="inlineStr">
        <is>
          <t>GRD</t>
        </is>
      </c>
      <c r="B45" s="16" t="n">
        <v>46276</v>
      </c>
      <c r="C45" s="11" t="n">
        <v>2884</v>
      </c>
      <c r="D45" s="11" t="n">
        <v>2472</v>
      </c>
      <c r="E45" s="11" t="n">
        <v>2588</v>
      </c>
      <c r="F45" s="11" t="n">
        <v>3079.142857142857</v>
      </c>
    </row>
    <row r="46">
      <c r="A46" s="10" t="inlineStr">
        <is>
          <t>GRD</t>
        </is>
      </c>
      <c r="B46" s="16" t="n">
        <v>46277</v>
      </c>
      <c r="C46" s="11" t="n">
        <v>3525</v>
      </c>
      <c r="D46" s="11" t="n">
        <v>3058</v>
      </c>
      <c r="E46" s="11" t="n">
        <v>3111</v>
      </c>
      <c r="F46" s="11" t="n">
        <v>3091.142857142857</v>
      </c>
    </row>
    <row r="47">
      <c r="A47" s="10" t="inlineStr">
        <is>
          <t>GRD</t>
        </is>
      </c>
      <c r="B47" s="16" t="n">
        <v>46278</v>
      </c>
      <c r="C47" s="11" t="n">
        <v>3606</v>
      </c>
      <c r="D47" s="11" t="n">
        <v>3058</v>
      </c>
      <c r="E47" s="11" t="n">
        <v>3165</v>
      </c>
      <c r="F47" s="11" t="n">
        <v>3131.714285714286</v>
      </c>
    </row>
    <row r="48">
      <c r="A48" s="10" t="inlineStr">
        <is>
          <t>GRD</t>
        </is>
      </c>
      <c r="B48" s="16" t="n">
        <v>46279</v>
      </c>
      <c r="C48" s="11" t="n">
        <v>2917</v>
      </c>
      <c r="D48" s="11" t="n">
        <v>2499</v>
      </c>
      <c r="E48" s="11" t="n">
        <v>2614</v>
      </c>
      <c r="F48" s="11" t="n">
        <v>3178.142857142857</v>
      </c>
    </row>
    <row r="49">
      <c r="A49" s="10" t="inlineStr">
        <is>
          <t>GRD</t>
        </is>
      </c>
      <c r="B49" s="16" t="n">
        <v>46280</v>
      </c>
      <c r="C49" s="11" t="n">
        <v>2572</v>
      </c>
      <c r="D49" s="11" t="n">
        <v>2213</v>
      </c>
      <c r="E49" s="11" t="n">
        <v>2324</v>
      </c>
      <c r="F49" s="11" t="n">
        <v>3170.571428571428</v>
      </c>
    </row>
    <row r="50">
      <c r="A50" s="10" t="inlineStr">
        <is>
          <t>GRD</t>
        </is>
      </c>
      <c r="B50" s="16" t="n">
        <v>46281</v>
      </c>
      <c r="C50" s="11" t="n">
        <v>2735</v>
      </c>
      <c r="D50" s="11" t="n">
        <v>2371</v>
      </c>
      <c r="E50" s="11" t="n">
        <v>2503</v>
      </c>
      <c r="F50" s="11" t="n">
        <v>3173.714285714286</v>
      </c>
    </row>
    <row r="51">
      <c r="A51" s="10" t="inlineStr">
        <is>
          <t>GRD</t>
        </is>
      </c>
      <c r="B51" s="16" t="n">
        <v>46282</v>
      </c>
      <c r="C51" s="11" t="n">
        <v>2633</v>
      </c>
      <c r="D51" s="11" t="n">
        <v>2288</v>
      </c>
      <c r="E51" s="11" t="n">
        <v>2375</v>
      </c>
      <c r="F51" s="11" t="n">
        <v>2981.714285714286</v>
      </c>
    </row>
    <row r="52">
      <c r="A52" s="10" t="inlineStr">
        <is>
          <t>GRD</t>
        </is>
      </c>
      <c r="B52" s="16" t="n">
        <v>46283</v>
      </c>
      <c r="C52" s="11" t="n">
        <v>2575</v>
      </c>
      <c r="D52" s="11" t="n">
        <v>2260</v>
      </c>
      <c r="E52" s="11" t="n">
        <v>2335</v>
      </c>
      <c r="F52" s="11" t="n">
        <v>2937.571428571428</v>
      </c>
    </row>
    <row r="53">
      <c r="A53" s="10" t="inlineStr">
        <is>
          <t>GRD</t>
        </is>
      </c>
      <c r="B53" s="16" t="n">
        <v>46284</v>
      </c>
      <c r="C53" s="11" t="n">
        <v>3229</v>
      </c>
      <c r="D53" s="11" t="n">
        <v>2771</v>
      </c>
      <c r="E53" s="11" t="n">
        <v>2883</v>
      </c>
      <c r="F53" s="11" t="n">
        <v>2895.285714285714</v>
      </c>
    </row>
    <row r="54">
      <c r="A54" s="10" t="inlineStr">
        <is>
          <t>GRD</t>
        </is>
      </c>
      <c r="B54" s="16" t="n">
        <v>46285</v>
      </c>
      <c r="C54" s="11" t="n">
        <v>2813</v>
      </c>
      <c r="D54" s="11" t="n">
        <v>2433</v>
      </c>
      <c r="E54" s="11" t="n">
        <v>2530</v>
      </c>
      <c r="F54" s="11" t="n">
        <v>2782</v>
      </c>
    </row>
    <row r="55">
      <c r="A55" s="10" t="inlineStr">
        <is>
          <t>GRD</t>
        </is>
      </c>
      <c r="B55" s="16" t="n">
        <v>46286</v>
      </c>
      <c r="C55" s="11" t="n">
        <v>2563</v>
      </c>
      <c r="D55" s="11" t="n">
        <v>2214</v>
      </c>
      <c r="E55" s="11" t="n">
        <v>2351</v>
      </c>
      <c r="F55" s="11" t="n">
        <v>2731.428571428572</v>
      </c>
    </row>
    <row r="56">
      <c r="A56" s="10" t="inlineStr">
        <is>
          <t>GRD</t>
        </is>
      </c>
      <c r="B56" s="16" t="n">
        <v>46287</v>
      </c>
      <c r="C56" s="11" t="n">
        <v>2411</v>
      </c>
      <c r="D56" s="11" t="n">
        <v>2062</v>
      </c>
      <c r="E56" s="11" t="n">
        <v>2204</v>
      </c>
      <c r="F56" s="11" t="n">
        <v>2708.428571428572</v>
      </c>
    </row>
    <row r="57">
      <c r="A57" s="10" t="inlineStr">
        <is>
          <t>GRD</t>
        </is>
      </c>
      <c r="B57" s="16" t="n">
        <v>46288</v>
      </c>
      <c r="C57" s="11" t="n">
        <v>2300</v>
      </c>
      <c r="D57" s="11" t="n">
        <v>1985</v>
      </c>
      <c r="E57" s="11" t="n">
        <v>2118</v>
      </c>
      <c r="F57" s="11" t="n">
        <v>2646.285714285714</v>
      </c>
    </row>
    <row r="58">
      <c r="A58" s="10" t="inlineStr">
        <is>
          <t>GRD</t>
        </is>
      </c>
      <c r="B58" s="16" t="n">
        <v>46289</v>
      </c>
      <c r="C58" s="11" t="n">
        <v>2253</v>
      </c>
      <c r="D58" s="11" t="n">
        <v>1954</v>
      </c>
      <c r="E58" s="11" t="n">
        <v>2070</v>
      </c>
      <c r="F58" s="11" t="n">
        <v>2592</v>
      </c>
    </row>
    <row r="59">
      <c r="A59" s="10" t="inlineStr">
        <is>
          <t>GRD</t>
        </is>
      </c>
      <c r="B59" s="16" t="n">
        <v>46290</v>
      </c>
      <c r="C59" s="11" t="n">
        <v>2202</v>
      </c>
      <c r="D59" s="11" t="n">
        <v>1879</v>
      </c>
      <c r="E59" s="11" t="n">
        <v>2006</v>
      </c>
      <c r="F59" s="11" t="n">
        <v>2538.714285714286</v>
      </c>
    </row>
    <row r="60">
      <c r="A60" s="10" t="inlineStr">
        <is>
          <t>GRD</t>
        </is>
      </c>
      <c r="B60" s="16" t="n">
        <v>46291</v>
      </c>
      <c r="C60" s="11" t="n">
        <v>2908</v>
      </c>
      <c r="D60" s="11" t="n">
        <v>2464</v>
      </c>
      <c r="E60" s="11" t="n">
        <v>2618</v>
      </c>
      <c r="F60" s="11" t="n">
        <v>2492.857142857143</v>
      </c>
    </row>
    <row r="61">
      <c r="A61" s="10" t="inlineStr">
        <is>
          <t>GRD</t>
        </is>
      </c>
      <c r="B61" s="16" t="n">
        <v>46292</v>
      </c>
      <c r="C61" s="11" t="n">
        <v>2767</v>
      </c>
      <c r="D61" s="11" t="n">
        <v>2370</v>
      </c>
      <c r="E61" s="11" t="n">
        <v>2516</v>
      </c>
      <c r="F61" s="11" t="n">
        <v>2486.285714285714</v>
      </c>
    </row>
    <row r="62">
      <c r="A62" s="10" t="inlineStr">
        <is>
          <t>GRD</t>
        </is>
      </c>
      <c r="B62" s="16" t="n">
        <v>46293</v>
      </c>
      <c r="C62" s="11" t="n">
        <v>2089</v>
      </c>
      <c r="D62" s="11" t="n">
        <v>1797</v>
      </c>
      <c r="E62" s="11" t="n">
        <v>1912</v>
      </c>
      <c r="F62" s="11" t="n">
        <v>2418.571428571428</v>
      </c>
    </row>
    <row r="63">
      <c r="A63" s="10" t="inlineStr">
        <is>
          <t>GRD</t>
        </is>
      </c>
      <c r="B63" s="16" t="n">
        <v>46294</v>
      </c>
      <c r="C63" s="11" t="n">
        <v>2245</v>
      </c>
      <c r="D63" s="11" t="n">
        <v>1905</v>
      </c>
      <c r="E63" s="11" t="n">
        <v>2050</v>
      </c>
      <c r="F63" s="11" t="n">
        <v>2394.857142857143</v>
      </c>
    </row>
    <row r="64">
      <c r="A64" s="10" t="inlineStr">
        <is>
          <t>GRD</t>
        </is>
      </c>
      <c r="B64" s="16" t="n">
        <v>46295</v>
      </c>
      <c r="C64" s="11" t="n">
        <v>2221</v>
      </c>
      <c r="D64" s="11" t="n">
        <v>1878</v>
      </c>
      <c r="E64" s="11" t="n">
        <v>2062</v>
      </c>
      <c r="F64" s="11" t="n">
        <v>2383.571428571428</v>
      </c>
    </row>
    <row r="65">
      <c r="A65" s="10" t="inlineStr">
        <is>
          <t>HTL</t>
        </is>
      </c>
      <c r="B65" s="16" t="n">
        <v>46266</v>
      </c>
      <c r="C65" s="11" t="n">
        <v>1618</v>
      </c>
      <c r="D65" s="11" t="n">
        <v>1613</v>
      </c>
      <c r="E65" s="11" t="n">
        <v>1520</v>
      </c>
      <c r="F65" s="11" t="n">
        <v>1618</v>
      </c>
    </row>
    <row r="66">
      <c r="A66" s="10" t="inlineStr">
        <is>
          <t>HTL</t>
        </is>
      </c>
      <c r="B66" s="16" t="n">
        <v>46267</v>
      </c>
      <c r="C66" s="11" t="n">
        <v>1600</v>
      </c>
      <c r="D66" s="11" t="n">
        <v>1587</v>
      </c>
      <c r="E66" s="11" t="n">
        <v>1476</v>
      </c>
      <c r="F66" s="11" t="n">
        <v>1609</v>
      </c>
    </row>
    <row r="67">
      <c r="A67" s="10" t="inlineStr">
        <is>
          <t>HTL</t>
        </is>
      </c>
      <c r="B67" s="16" t="n">
        <v>46268</v>
      </c>
      <c r="C67" s="11" t="n">
        <v>1745</v>
      </c>
      <c r="D67" s="11" t="n">
        <v>1733</v>
      </c>
      <c r="E67" s="11" t="n">
        <v>1620</v>
      </c>
      <c r="F67" s="11" t="n">
        <v>1654.333333333333</v>
      </c>
    </row>
    <row r="68">
      <c r="A68" s="10" t="inlineStr">
        <is>
          <t>HTL</t>
        </is>
      </c>
      <c r="B68" s="16" t="n">
        <v>46269</v>
      </c>
      <c r="C68" s="11" t="n">
        <v>1594</v>
      </c>
      <c r="D68" s="11" t="n">
        <v>1586</v>
      </c>
      <c r="E68" s="11" t="n">
        <v>1477</v>
      </c>
      <c r="F68" s="11" t="n">
        <v>1639.25</v>
      </c>
    </row>
    <row r="69">
      <c r="A69" s="10" t="inlineStr">
        <is>
          <t>HTL</t>
        </is>
      </c>
      <c r="B69" s="16" t="n">
        <v>46270</v>
      </c>
      <c r="C69" s="11" t="n">
        <v>1896</v>
      </c>
      <c r="D69" s="11" t="n">
        <v>1884</v>
      </c>
      <c r="E69" s="11" t="n">
        <v>1755</v>
      </c>
      <c r="F69" s="11" t="n">
        <v>1690.6</v>
      </c>
    </row>
    <row r="70">
      <c r="A70" s="10" t="inlineStr">
        <is>
          <t>HTL</t>
        </is>
      </c>
      <c r="B70" s="16" t="n">
        <v>46271</v>
      </c>
      <c r="C70" s="11" t="n">
        <v>1637</v>
      </c>
      <c r="D70" s="11" t="n">
        <v>1629</v>
      </c>
      <c r="E70" s="11" t="n">
        <v>1524</v>
      </c>
      <c r="F70" s="11" t="n">
        <v>1681.666666666667</v>
      </c>
    </row>
    <row r="71">
      <c r="A71" s="10" t="inlineStr">
        <is>
          <t>HTL</t>
        </is>
      </c>
      <c r="B71" s="16" t="n">
        <v>46272</v>
      </c>
      <c r="C71" s="11" t="n">
        <v>1621</v>
      </c>
      <c r="D71" s="11" t="n">
        <v>1609</v>
      </c>
      <c r="E71" s="11" t="n">
        <v>1502</v>
      </c>
      <c r="F71" s="11" t="n">
        <v>1673</v>
      </c>
    </row>
    <row r="72">
      <c r="A72" s="10" t="inlineStr">
        <is>
          <t>HTL</t>
        </is>
      </c>
      <c r="B72" s="16" t="n">
        <v>46273</v>
      </c>
      <c r="C72" s="11" t="n">
        <v>1624</v>
      </c>
      <c r="D72" s="11" t="n">
        <v>1609</v>
      </c>
      <c r="E72" s="11" t="n">
        <v>1516</v>
      </c>
      <c r="F72" s="11" t="n">
        <v>1673.857142857143</v>
      </c>
    </row>
    <row r="73">
      <c r="A73" s="10" t="inlineStr">
        <is>
          <t>HTL</t>
        </is>
      </c>
      <c r="B73" s="16" t="n">
        <v>46274</v>
      </c>
      <c r="C73" s="11" t="n">
        <v>1516</v>
      </c>
      <c r="D73" s="11" t="n">
        <v>1510</v>
      </c>
      <c r="E73" s="11" t="n">
        <v>1410</v>
      </c>
      <c r="F73" s="11" t="n">
        <v>1661.857142857143</v>
      </c>
    </row>
    <row r="74">
      <c r="A74" s="10" t="inlineStr">
        <is>
          <t>HTL</t>
        </is>
      </c>
      <c r="B74" s="16" t="n">
        <v>46275</v>
      </c>
      <c r="C74" s="11" t="n">
        <v>2108</v>
      </c>
      <c r="D74" s="11" t="n">
        <v>2096</v>
      </c>
      <c r="E74" s="11" t="n">
        <v>1913</v>
      </c>
      <c r="F74" s="11" t="n">
        <v>1713.714285714286</v>
      </c>
    </row>
    <row r="75">
      <c r="A75" s="10" t="inlineStr">
        <is>
          <t>HTL</t>
        </is>
      </c>
      <c r="B75" s="16" t="n">
        <v>46276</v>
      </c>
      <c r="C75" s="11" t="n">
        <v>2149</v>
      </c>
      <c r="D75" s="11" t="n">
        <v>2133</v>
      </c>
      <c r="E75" s="11" t="n">
        <v>1956</v>
      </c>
      <c r="F75" s="11" t="n">
        <v>1793</v>
      </c>
    </row>
    <row r="76">
      <c r="A76" s="10" t="inlineStr">
        <is>
          <t>HTL</t>
        </is>
      </c>
      <c r="B76" s="16" t="n">
        <v>46277</v>
      </c>
      <c r="C76" s="11" t="n">
        <v>2413</v>
      </c>
      <c r="D76" s="11" t="n">
        <v>2404</v>
      </c>
      <c r="E76" s="11" t="n">
        <v>2165</v>
      </c>
      <c r="F76" s="11" t="n">
        <v>1866.857142857143</v>
      </c>
    </row>
    <row r="77">
      <c r="A77" s="10" t="inlineStr">
        <is>
          <t>HTL</t>
        </is>
      </c>
      <c r="B77" s="16" t="n">
        <v>46278</v>
      </c>
      <c r="C77" s="11" t="n">
        <v>2573</v>
      </c>
      <c r="D77" s="11" t="n">
        <v>2558</v>
      </c>
      <c r="E77" s="11" t="n">
        <v>2309</v>
      </c>
      <c r="F77" s="11" t="n">
        <v>2000.571428571429</v>
      </c>
    </row>
    <row r="78">
      <c r="A78" s="10" t="inlineStr">
        <is>
          <t>HTL</t>
        </is>
      </c>
      <c r="B78" s="16" t="n">
        <v>46279</v>
      </c>
      <c r="C78" s="11" t="n">
        <v>2140</v>
      </c>
      <c r="D78" s="11" t="n">
        <v>2127</v>
      </c>
      <c r="E78" s="11" t="n">
        <v>1929</v>
      </c>
      <c r="F78" s="11" t="n">
        <v>2074.714285714286</v>
      </c>
    </row>
    <row r="79">
      <c r="A79" s="10" t="inlineStr">
        <is>
          <t>HTL</t>
        </is>
      </c>
      <c r="B79" s="16" t="n">
        <v>46280</v>
      </c>
      <c r="C79" s="11" t="n">
        <v>2134</v>
      </c>
      <c r="D79" s="11" t="n">
        <v>2122</v>
      </c>
      <c r="E79" s="11" t="n">
        <v>1938</v>
      </c>
      <c r="F79" s="11" t="n">
        <v>2147.571428571428</v>
      </c>
    </row>
    <row r="80">
      <c r="A80" s="10" t="inlineStr">
        <is>
          <t>HTL</t>
        </is>
      </c>
      <c r="B80" s="16" t="n">
        <v>46281</v>
      </c>
      <c r="C80" s="11" t="n">
        <v>2185</v>
      </c>
      <c r="D80" s="11" t="n">
        <v>2177</v>
      </c>
      <c r="E80" s="11" t="n">
        <v>1977</v>
      </c>
      <c r="F80" s="11" t="n">
        <v>2243.142857142857</v>
      </c>
    </row>
    <row r="81">
      <c r="A81" s="10" t="inlineStr">
        <is>
          <t>HTL</t>
        </is>
      </c>
      <c r="B81" s="16" t="n">
        <v>46282</v>
      </c>
      <c r="C81" s="11" t="n">
        <v>2314</v>
      </c>
      <c r="D81" s="11" t="n">
        <v>2296</v>
      </c>
      <c r="E81" s="11" t="n">
        <v>2115</v>
      </c>
      <c r="F81" s="11" t="n">
        <v>2272.571428571428</v>
      </c>
    </row>
    <row r="82">
      <c r="A82" s="10" t="inlineStr">
        <is>
          <t>HTL</t>
        </is>
      </c>
      <c r="B82" s="16" t="n">
        <v>46283</v>
      </c>
      <c r="C82" s="11" t="n">
        <v>2042</v>
      </c>
      <c r="D82" s="11" t="n">
        <v>2033</v>
      </c>
      <c r="E82" s="11" t="n">
        <v>1874</v>
      </c>
      <c r="F82" s="11" t="n">
        <v>2257.285714285714</v>
      </c>
    </row>
    <row r="83">
      <c r="A83" s="10" t="inlineStr">
        <is>
          <t>HTL</t>
        </is>
      </c>
      <c r="B83" s="16" t="n">
        <v>46284</v>
      </c>
      <c r="C83" s="11" t="n">
        <v>2431</v>
      </c>
      <c r="D83" s="11" t="n">
        <v>2420</v>
      </c>
      <c r="E83" s="11" t="n">
        <v>2181</v>
      </c>
      <c r="F83" s="11" t="n">
        <v>2259.857142857143</v>
      </c>
    </row>
    <row r="84">
      <c r="A84" s="10" t="inlineStr">
        <is>
          <t>HTL</t>
        </is>
      </c>
      <c r="B84" s="16" t="n">
        <v>46285</v>
      </c>
      <c r="C84" s="11" t="n">
        <v>2537</v>
      </c>
      <c r="D84" s="11" t="n">
        <v>2527</v>
      </c>
      <c r="E84" s="11" t="n">
        <v>2249</v>
      </c>
      <c r="F84" s="11" t="n">
        <v>2254.714285714286</v>
      </c>
    </row>
    <row r="85">
      <c r="A85" s="10" t="inlineStr">
        <is>
          <t>HTL</t>
        </is>
      </c>
      <c r="B85" s="16" t="n">
        <v>46286</v>
      </c>
      <c r="C85" s="11" t="n">
        <v>2195</v>
      </c>
      <c r="D85" s="11" t="n">
        <v>2184</v>
      </c>
      <c r="E85" s="11" t="n">
        <v>1961</v>
      </c>
      <c r="F85" s="11" t="n">
        <v>2262.571428571428</v>
      </c>
    </row>
    <row r="86">
      <c r="A86" s="10" t="inlineStr">
        <is>
          <t>HTL</t>
        </is>
      </c>
      <c r="B86" s="16" t="n">
        <v>46287</v>
      </c>
      <c r="C86" s="11" t="n">
        <v>2301</v>
      </c>
      <c r="D86" s="11" t="n">
        <v>2283</v>
      </c>
      <c r="E86" s="11" t="n">
        <v>2075</v>
      </c>
      <c r="F86" s="11" t="n">
        <v>2286.428571428572</v>
      </c>
    </row>
    <row r="87">
      <c r="A87" s="10" t="inlineStr">
        <is>
          <t>HTL</t>
        </is>
      </c>
      <c r="B87" s="16" t="n">
        <v>46288</v>
      </c>
      <c r="C87" s="11" t="n">
        <v>2298</v>
      </c>
      <c r="D87" s="11" t="n">
        <v>2282</v>
      </c>
      <c r="E87" s="11" t="n">
        <v>2064</v>
      </c>
      <c r="F87" s="11" t="n">
        <v>2302.571428571428</v>
      </c>
    </row>
    <row r="88">
      <c r="A88" s="10" t="inlineStr">
        <is>
          <t>HTL</t>
        </is>
      </c>
      <c r="B88" s="16" t="n">
        <v>46289</v>
      </c>
      <c r="C88" s="11" t="n">
        <v>2244</v>
      </c>
      <c r="D88" s="11" t="n">
        <v>2234</v>
      </c>
      <c r="E88" s="11" t="n">
        <v>2033</v>
      </c>
      <c r="F88" s="11" t="n">
        <v>2292.571428571428</v>
      </c>
    </row>
    <row r="89">
      <c r="A89" s="10" t="inlineStr">
        <is>
          <t>HTL</t>
        </is>
      </c>
      <c r="B89" s="16" t="n">
        <v>46290</v>
      </c>
      <c r="C89" s="11" t="n">
        <v>1985</v>
      </c>
      <c r="D89" s="11" t="n">
        <v>1976</v>
      </c>
      <c r="E89" s="11" t="n">
        <v>1833</v>
      </c>
      <c r="F89" s="11" t="n">
        <v>2284.428571428572</v>
      </c>
    </row>
    <row r="90">
      <c r="A90" s="10" t="inlineStr">
        <is>
          <t>HTL</t>
        </is>
      </c>
      <c r="B90" s="16" t="n">
        <v>46291</v>
      </c>
      <c r="C90" s="11" t="n">
        <v>2434</v>
      </c>
      <c r="D90" s="11" t="n">
        <v>2415</v>
      </c>
      <c r="E90" s="11" t="n">
        <v>2185</v>
      </c>
      <c r="F90" s="11" t="n">
        <v>2284.857142857143</v>
      </c>
    </row>
    <row r="91">
      <c r="A91" s="10" t="inlineStr">
        <is>
          <t>HTL</t>
        </is>
      </c>
      <c r="B91" s="16" t="n">
        <v>46292</v>
      </c>
      <c r="C91" s="11" t="n">
        <v>2565</v>
      </c>
      <c r="D91" s="11" t="n">
        <v>2547</v>
      </c>
      <c r="E91" s="11" t="n">
        <v>2287</v>
      </c>
      <c r="F91" s="11" t="n">
        <v>2288.857142857143</v>
      </c>
    </row>
    <row r="92">
      <c r="A92" s="10" t="inlineStr">
        <is>
          <t>HTL</t>
        </is>
      </c>
      <c r="B92" s="16" t="n">
        <v>46293</v>
      </c>
      <c r="C92" s="11" t="n">
        <v>2213</v>
      </c>
      <c r="D92" s="11" t="n">
        <v>2199</v>
      </c>
      <c r="E92" s="11" t="n">
        <v>2008</v>
      </c>
      <c r="F92" s="11" t="n">
        <v>2291.428571428572</v>
      </c>
    </row>
    <row r="93">
      <c r="A93" s="10" t="inlineStr">
        <is>
          <t>HTL</t>
        </is>
      </c>
      <c r="B93" s="16" t="n">
        <v>46294</v>
      </c>
      <c r="C93" s="11" t="n">
        <v>2341</v>
      </c>
      <c r="D93" s="11" t="n">
        <v>2323</v>
      </c>
      <c r="E93" s="11" t="n">
        <v>2125</v>
      </c>
      <c r="F93" s="11" t="n">
        <v>2297.142857142857</v>
      </c>
    </row>
    <row r="94">
      <c r="A94" s="10" t="inlineStr">
        <is>
          <t>HTL</t>
        </is>
      </c>
      <c r="B94" s="16" t="n">
        <v>46295</v>
      </c>
      <c r="C94" s="11" t="n">
        <v>2475</v>
      </c>
      <c r="D94" s="11" t="n">
        <v>2458</v>
      </c>
      <c r="E94" s="11" t="n">
        <v>2217</v>
      </c>
      <c r="F94" s="11" t="n">
        <v>2322.428571428572</v>
      </c>
    </row>
    <row r="95">
      <c r="A95" s="10" t="inlineStr">
        <is>
          <t>PFC</t>
        </is>
      </c>
      <c r="B95" s="16" t="n">
        <v>46266</v>
      </c>
      <c r="C95" s="11" t="n">
        <v>1948</v>
      </c>
      <c r="D95" s="11" t="n">
        <v>1191</v>
      </c>
      <c r="E95" s="11" t="n">
        <v>1820</v>
      </c>
      <c r="F95" s="11" t="n">
        <v>1948</v>
      </c>
    </row>
    <row r="96">
      <c r="A96" s="10" t="inlineStr">
        <is>
          <t>PFC</t>
        </is>
      </c>
      <c r="B96" s="16" t="n">
        <v>46267</v>
      </c>
      <c r="C96" s="11" t="n">
        <v>1868</v>
      </c>
      <c r="D96" s="11" t="n">
        <v>1114</v>
      </c>
      <c r="E96" s="11" t="n">
        <v>1744</v>
      </c>
      <c r="F96" s="11" t="n">
        <v>1908</v>
      </c>
    </row>
    <row r="97">
      <c r="A97" s="10" t="inlineStr">
        <is>
          <t>PFC</t>
        </is>
      </c>
      <c r="B97" s="16" t="n">
        <v>46268</v>
      </c>
      <c r="C97" s="11" t="n">
        <v>1763</v>
      </c>
      <c r="D97" s="11" t="n">
        <v>1040</v>
      </c>
      <c r="E97" s="11" t="n">
        <v>1671</v>
      </c>
      <c r="F97" s="11" t="n">
        <v>1859.666666666667</v>
      </c>
    </row>
    <row r="98">
      <c r="A98" s="10" t="inlineStr">
        <is>
          <t>PFC</t>
        </is>
      </c>
      <c r="B98" s="16" t="n">
        <v>46269</v>
      </c>
      <c r="C98" s="11" t="n">
        <v>1881</v>
      </c>
      <c r="D98" s="11" t="n">
        <v>1119</v>
      </c>
      <c r="E98" s="11" t="n">
        <v>1769</v>
      </c>
      <c r="F98" s="11" t="n">
        <v>1865</v>
      </c>
    </row>
    <row r="99">
      <c r="A99" s="10" t="inlineStr">
        <is>
          <t>PFC</t>
        </is>
      </c>
      <c r="B99" s="16" t="n">
        <v>46270</v>
      </c>
      <c r="C99" s="11" t="n">
        <v>2366</v>
      </c>
      <c r="D99" s="11" t="n">
        <v>1434</v>
      </c>
      <c r="E99" s="11" t="n">
        <v>2195</v>
      </c>
      <c r="F99" s="11" t="n">
        <v>1965.2</v>
      </c>
    </row>
    <row r="100">
      <c r="A100" s="10" t="inlineStr">
        <is>
          <t>PFC</t>
        </is>
      </c>
      <c r="B100" s="16" t="n">
        <v>46271</v>
      </c>
      <c r="C100" s="11" t="n">
        <v>2609</v>
      </c>
      <c r="D100" s="11" t="n">
        <v>1554</v>
      </c>
      <c r="E100" s="11" t="n">
        <v>2398</v>
      </c>
      <c r="F100" s="11" t="n">
        <v>2072.5</v>
      </c>
    </row>
    <row r="101">
      <c r="A101" s="10" t="inlineStr">
        <is>
          <t>PFC</t>
        </is>
      </c>
      <c r="B101" s="16" t="n">
        <v>46272</v>
      </c>
      <c r="C101" s="11" t="n">
        <v>1817</v>
      </c>
      <c r="D101" s="11" t="n">
        <v>1096</v>
      </c>
      <c r="E101" s="11" t="n">
        <v>1687</v>
      </c>
      <c r="F101" s="11" t="n">
        <v>2036</v>
      </c>
    </row>
    <row r="102">
      <c r="A102" s="10" t="inlineStr">
        <is>
          <t>PFC</t>
        </is>
      </c>
      <c r="B102" s="16" t="n">
        <v>46273</v>
      </c>
      <c r="C102" s="11" t="n">
        <v>1978</v>
      </c>
      <c r="D102" s="11" t="n">
        <v>1148</v>
      </c>
      <c r="E102" s="11" t="n">
        <v>1856</v>
      </c>
      <c r="F102" s="11" t="n">
        <v>2040.285714285714</v>
      </c>
    </row>
    <row r="103">
      <c r="A103" s="10" t="inlineStr">
        <is>
          <t>PFC</t>
        </is>
      </c>
      <c r="B103" s="16" t="n">
        <v>46274</v>
      </c>
      <c r="C103" s="11" t="n">
        <v>2091</v>
      </c>
      <c r="D103" s="11" t="n">
        <v>1167</v>
      </c>
      <c r="E103" s="11" t="n">
        <v>1960</v>
      </c>
      <c r="F103" s="11" t="n">
        <v>2072.142857142857</v>
      </c>
    </row>
    <row r="104">
      <c r="A104" s="10" t="inlineStr">
        <is>
          <t>PFC</t>
        </is>
      </c>
      <c r="B104" s="16" t="n">
        <v>46275</v>
      </c>
      <c r="C104" s="11" t="n">
        <v>2094</v>
      </c>
      <c r="D104" s="11" t="n">
        <v>1269</v>
      </c>
      <c r="E104" s="11" t="n">
        <v>1958</v>
      </c>
      <c r="F104" s="11" t="n">
        <v>2119.428571428572</v>
      </c>
    </row>
    <row r="105">
      <c r="A105" s="10" t="inlineStr">
        <is>
          <t>PFC</t>
        </is>
      </c>
      <c r="B105" s="16" t="n">
        <v>46276</v>
      </c>
      <c r="C105" s="11" t="n">
        <v>1915</v>
      </c>
      <c r="D105" s="11" t="n">
        <v>1178</v>
      </c>
      <c r="E105" s="11" t="n">
        <v>1787</v>
      </c>
      <c r="F105" s="11" t="n">
        <v>2124.285714285714</v>
      </c>
    </row>
    <row r="106">
      <c r="A106" s="10" t="inlineStr">
        <is>
          <t>PFC</t>
        </is>
      </c>
      <c r="B106" s="16" t="n">
        <v>46277</v>
      </c>
      <c r="C106" s="11" t="n">
        <v>2534</v>
      </c>
      <c r="D106" s="11" t="n">
        <v>1445</v>
      </c>
      <c r="E106" s="11" t="n">
        <v>2318</v>
      </c>
      <c r="F106" s="11" t="n">
        <v>2148.285714285714</v>
      </c>
    </row>
    <row r="107">
      <c r="A107" s="10" t="inlineStr">
        <is>
          <t>PFC</t>
        </is>
      </c>
      <c r="B107" s="16" t="n">
        <v>46278</v>
      </c>
      <c r="C107" s="11" t="n">
        <v>2482</v>
      </c>
      <c r="D107" s="11" t="n">
        <v>1433</v>
      </c>
      <c r="E107" s="11" t="n">
        <v>2266</v>
      </c>
      <c r="F107" s="11" t="n">
        <v>2130.142857142857</v>
      </c>
    </row>
    <row r="108">
      <c r="A108" s="10" t="inlineStr">
        <is>
          <t>PFC</t>
        </is>
      </c>
      <c r="B108" s="16" t="n">
        <v>46279</v>
      </c>
      <c r="C108" s="11" t="n">
        <v>2025</v>
      </c>
      <c r="D108" s="11" t="n">
        <v>1176</v>
      </c>
      <c r="E108" s="11" t="n">
        <v>1880</v>
      </c>
      <c r="F108" s="11" t="n">
        <v>2159.857142857143</v>
      </c>
    </row>
    <row r="109">
      <c r="A109" s="10" t="inlineStr">
        <is>
          <t>PFC</t>
        </is>
      </c>
      <c r="B109" s="16" t="n">
        <v>46280</v>
      </c>
      <c r="C109" s="11" t="n">
        <v>1841</v>
      </c>
      <c r="D109" s="11" t="n">
        <v>1101</v>
      </c>
      <c r="E109" s="11" t="n">
        <v>1725</v>
      </c>
      <c r="F109" s="11" t="n">
        <v>2140.285714285714</v>
      </c>
    </row>
    <row r="110">
      <c r="A110" s="10" t="inlineStr">
        <is>
          <t>PFC</t>
        </is>
      </c>
      <c r="B110" s="16" t="n">
        <v>46281</v>
      </c>
      <c r="C110" s="11" t="n">
        <v>1909</v>
      </c>
      <c r="D110" s="11" t="n">
        <v>1185</v>
      </c>
      <c r="E110" s="11" t="n">
        <v>1785</v>
      </c>
      <c r="F110" s="11" t="n">
        <v>2114.285714285714</v>
      </c>
    </row>
    <row r="111">
      <c r="A111" s="10" t="inlineStr">
        <is>
          <t>PFC</t>
        </is>
      </c>
      <c r="B111" s="16" t="n">
        <v>46282</v>
      </c>
      <c r="C111" s="11" t="n">
        <v>1814</v>
      </c>
      <c r="D111" s="11" t="n">
        <v>1108</v>
      </c>
      <c r="E111" s="11" t="n">
        <v>1701</v>
      </c>
      <c r="F111" s="11" t="n">
        <v>2074.285714285714</v>
      </c>
    </row>
    <row r="112">
      <c r="A112" s="10" t="inlineStr">
        <is>
          <t>PFC</t>
        </is>
      </c>
      <c r="B112" s="16" t="n">
        <v>46283</v>
      </c>
      <c r="C112" s="11" t="n">
        <v>1969</v>
      </c>
      <c r="D112" s="11" t="n">
        <v>1109</v>
      </c>
      <c r="E112" s="11" t="n">
        <v>1840</v>
      </c>
      <c r="F112" s="11" t="n">
        <v>2082</v>
      </c>
    </row>
    <row r="113">
      <c r="A113" s="10" t="inlineStr">
        <is>
          <t>PFC</t>
        </is>
      </c>
      <c r="B113" s="16" t="n">
        <v>46284</v>
      </c>
      <c r="C113" s="11" t="n">
        <v>2496</v>
      </c>
      <c r="D113" s="11" t="n">
        <v>1477</v>
      </c>
      <c r="E113" s="11" t="n">
        <v>2275</v>
      </c>
      <c r="F113" s="11" t="n">
        <v>2076.571428571428</v>
      </c>
    </row>
    <row r="114">
      <c r="A114" s="10" t="inlineStr">
        <is>
          <t>PFC</t>
        </is>
      </c>
      <c r="B114" s="16" t="n">
        <v>46285</v>
      </c>
      <c r="C114" s="11" t="n">
        <v>3260</v>
      </c>
      <c r="D114" s="11" t="n">
        <v>1955</v>
      </c>
      <c r="E114" s="11" t="n">
        <v>2953</v>
      </c>
      <c r="F114" s="11" t="n">
        <v>2187.714285714286</v>
      </c>
    </row>
    <row r="115">
      <c r="A115" s="10" t="inlineStr">
        <is>
          <t>PFC</t>
        </is>
      </c>
      <c r="B115" s="16" t="n">
        <v>46286</v>
      </c>
      <c r="C115" s="11" t="n">
        <v>2621</v>
      </c>
      <c r="D115" s="11" t="n">
        <v>1625</v>
      </c>
      <c r="E115" s="11" t="n">
        <v>2406</v>
      </c>
      <c r="F115" s="11" t="n">
        <v>2272.857142857143</v>
      </c>
    </row>
    <row r="116">
      <c r="A116" s="10" t="inlineStr">
        <is>
          <t>PFC</t>
        </is>
      </c>
      <c r="B116" s="16" t="n">
        <v>46287</v>
      </c>
      <c r="C116" s="11" t="n">
        <v>2821</v>
      </c>
      <c r="D116" s="11" t="n">
        <v>1760</v>
      </c>
      <c r="E116" s="11" t="n">
        <v>2581</v>
      </c>
      <c r="F116" s="11" t="n">
        <v>2412.857142857143</v>
      </c>
    </row>
    <row r="117">
      <c r="A117" s="10" t="inlineStr">
        <is>
          <t>PFC</t>
        </is>
      </c>
      <c r="B117" s="16" t="n">
        <v>46288</v>
      </c>
      <c r="C117" s="11" t="n">
        <v>5143</v>
      </c>
      <c r="D117" s="11" t="n">
        <v>3129</v>
      </c>
      <c r="E117" s="11" t="n">
        <v>4461</v>
      </c>
      <c r="F117" s="11" t="n">
        <v>2874.857142857143</v>
      </c>
    </row>
    <row r="118">
      <c r="A118" s="10" t="inlineStr">
        <is>
          <t>PFC</t>
        </is>
      </c>
      <c r="B118" s="16" t="n">
        <v>46289</v>
      </c>
      <c r="C118" s="11" t="n">
        <v>4784</v>
      </c>
      <c r="D118" s="11" t="n">
        <v>2950</v>
      </c>
      <c r="E118" s="11" t="n">
        <v>4126</v>
      </c>
      <c r="F118" s="11" t="n">
        <v>3299.142857142857</v>
      </c>
    </row>
    <row r="119">
      <c r="A119" s="10" t="inlineStr">
        <is>
          <t>PFC</t>
        </is>
      </c>
      <c r="B119" s="16" t="n">
        <v>46290</v>
      </c>
      <c r="C119" s="11" t="n">
        <v>4781</v>
      </c>
      <c r="D119" s="11" t="n">
        <v>2968</v>
      </c>
      <c r="E119" s="11" t="n">
        <v>4176</v>
      </c>
      <c r="F119" s="11" t="n">
        <v>3700.857142857143</v>
      </c>
    </row>
    <row r="120">
      <c r="A120" s="10" t="inlineStr">
        <is>
          <t>PFC</t>
        </is>
      </c>
      <c r="B120" s="16" t="n">
        <v>46291</v>
      </c>
      <c r="C120" s="11" t="n">
        <v>10684</v>
      </c>
      <c r="D120" s="11" t="n">
        <v>6400</v>
      </c>
      <c r="E120" s="11" t="n">
        <v>8239</v>
      </c>
      <c r="F120" s="11" t="n">
        <v>4870.571428571428</v>
      </c>
    </row>
    <row r="121">
      <c r="A121" s="10" t="inlineStr">
        <is>
          <t>PFC</t>
        </is>
      </c>
      <c r="B121" s="16" t="n">
        <v>46292</v>
      </c>
      <c r="C121" s="11" t="n">
        <v>10083</v>
      </c>
      <c r="D121" s="11" t="n">
        <v>5968</v>
      </c>
      <c r="E121" s="11" t="n">
        <v>7881</v>
      </c>
      <c r="F121" s="11" t="n">
        <v>5845.285714285715</v>
      </c>
    </row>
    <row r="122">
      <c r="A122" s="10" t="inlineStr">
        <is>
          <t>PFC</t>
        </is>
      </c>
      <c r="B122" s="16" t="n">
        <v>46293</v>
      </c>
      <c r="C122" s="11" t="n">
        <v>8361</v>
      </c>
      <c r="D122" s="11" t="n">
        <v>5153</v>
      </c>
      <c r="E122" s="11" t="n">
        <v>6711</v>
      </c>
      <c r="F122" s="11" t="n">
        <v>6665.285714285715</v>
      </c>
    </row>
    <row r="123">
      <c r="A123" s="10" t="inlineStr">
        <is>
          <t>PFC</t>
        </is>
      </c>
      <c r="B123" s="16" t="n">
        <v>46294</v>
      </c>
      <c r="C123" s="11" t="n">
        <v>7401</v>
      </c>
      <c r="D123" s="11" t="n">
        <v>4275</v>
      </c>
      <c r="E123" s="11" t="n">
        <v>6001</v>
      </c>
      <c r="F123" s="11" t="n">
        <v>7319.571428571428</v>
      </c>
    </row>
    <row r="124">
      <c r="A124" s="10" t="inlineStr">
        <is>
          <t>PFC</t>
        </is>
      </c>
      <c r="B124" s="16" t="n">
        <v>46295</v>
      </c>
      <c r="C124" s="11" t="n">
        <v>7169</v>
      </c>
      <c r="D124" s="11" t="n">
        <v>4214</v>
      </c>
      <c r="E124" s="11" t="n">
        <v>5908</v>
      </c>
      <c r="F124" s="11" t="n">
        <v>7609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9" customWidth="1" min="3" max="3"/>
    <col width="66" customWidth="1" min="4" max="4"/>
    <col width="70" customWidth="1" min="5" max="5"/>
  </cols>
  <sheetData>
    <row r="1">
      <c r="A1" s="1" t="inlineStr">
        <is>
          <t>Data Quality &amp; Automated Checks</t>
        </is>
      </c>
    </row>
    <row r="2">
      <c r="A2" s="2" t="inlineStr">
        <is>
          <t>Error-severity failures block publication; warnings are listed for follow-up.</t>
        </is>
      </c>
    </row>
    <row r="3"/>
    <row r="4" ht="30" customHeight="1">
      <c r="A4" s="9" t="inlineStr">
        <is>
          <t>Check Name</t>
        </is>
      </c>
      <c r="B4" s="9" t="inlineStr">
        <is>
          <t>Value</t>
        </is>
      </c>
      <c r="C4" s="9" t="inlineStr">
        <is>
          <t>Status</t>
        </is>
      </c>
      <c r="D4" s="9" t="inlineStr">
        <is>
          <t>Note</t>
        </is>
      </c>
    </row>
    <row r="5">
      <c r="A5" s="10" t="inlineStr">
        <is>
          <t>Raw telemetry rows</t>
        </is>
      </c>
      <c r="B5" s="11" t="n">
        <v>609018</v>
      </c>
      <c r="C5" s="10" t="inlineStr">
        <is>
          <t>info</t>
        </is>
      </c>
      <c r="D5" s="10" t="inlineStr">
        <is>
          <t>All rows received for the month</t>
        </is>
      </c>
    </row>
    <row r="6">
      <c r="A6" s="10" t="inlineStr">
        <is>
          <t>Retry duplicates removed</t>
        </is>
      </c>
      <c r="B6" s="11" t="n">
        <v>2419</v>
      </c>
      <c r="C6" s="10" t="inlineStr">
        <is>
          <t>fixed</t>
        </is>
      </c>
      <c r="D6" s="10" t="inlineStr">
        <is>
          <t>Same impression_id sent &gt;1x by client SDK; first event kept</t>
        </is>
      </c>
    </row>
    <row r="7">
      <c r="A7" s="10" t="inlineStr">
        <is>
          <t>Paid in-flight impressions</t>
        </is>
      </c>
      <c r="B7" s="11" t="n">
        <v>331168</v>
      </c>
      <c r="C7" s="10" t="inlineStr">
        <is>
          <t>info</t>
        </is>
      </c>
      <c r="D7" s="10" t="inlineStr">
        <is>
          <t>Reported + billable base</t>
        </is>
      </c>
    </row>
    <row r="8">
      <c r="A8" s="10" t="inlineStr">
        <is>
          <t>House impressions</t>
        </is>
      </c>
      <c r="B8" s="11" t="n">
        <v>270654</v>
      </c>
      <c r="C8" s="10" t="inlineStr">
        <is>
          <t>info</t>
        </is>
      </c>
      <c r="D8" s="10" t="inlineStr">
        <is>
          <t>Filler creative; counted in fill, not in sold</t>
        </is>
      </c>
    </row>
    <row r="9">
      <c r="A9" s="10" t="inlineStr">
        <is>
          <t>Out-of-flight impressions</t>
        </is>
      </c>
      <c r="B9" s="11" t="n">
        <v>1169</v>
      </c>
      <c r="C9" s="10" t="inlineStr">
        <is>
          <t>flag</t>
        </is>
      </c>
      <c r="D9" s="10" t="inlineStr">
        <is>
          <t>Served outside booked flight - excluded, raise with AdOps/AdTech</t>
        </is>
      </c>
    </row>
    <row r="10">
      <c r="A10" s="10" t="inlineStr">
        <is>
          <t>Test-line impressions</t>
        </is>
      </c>
      <c r="B10" s="11" t="n">
        <v>3422</v>
      </c>
      <c r="C10" s="10" t="inlineStr">
        <is>
          <t>info</t>
        </is>
      </c>
      <c r="D10" s="10" t="inlineStr">
        <is>
          <t>Excluded per AdOps scope</t>
        </is>
      </c>
    </row>
    <row r="11">
      <c r="A11" s="10" t="inlineStr">
        <is>
          <t>Orphan impressions (quarantined)</t>
        </is>
      </c>
      <c r="B11" s="11" t="n">
        <v>186</v>
      </c>
      <c r="C11" s="10" t="inlineStr">
        <is>
          <t>flag</t>
        </is>
      </c>
      <c r="D11" s="10" t="inlineStr">
        <is>
          <t>campaign_id missing from manifest - confirm with AdOps</t>
        </is>
      </c>
    </row>
    <row r="12">
      <c r="A12" s="10" t="inlineStr">
        <is>
          <t>Orphan campaign IDs</t>
        </is>
      </c>
      <c r="B12" s="11" t="n">
        <v>1</v>
      </c>
      <c r="C12" s="10" t="inlineStr">
        <is>
          <t>flag</t>
        </is>
      </c>
      <c r="D12" s="10" t="inlineStr">
        <is>
          <t>Distinct unknown campaign IDs</t>
        </is>
      </c>
    </row>
    <row r="13">
      <c r="A13" s="10" t="inlineStr">
        <is>
          <t>Null player_id rows</t>
        </is>
      </c>
      <c r="B13" s="11" t="n">
        <v>1229</v>
      </c>
      <c r="C13" s="10" t="inlineStr">
        <is>
          <t>info</t>
        </is>
      </c>
      <c r="D13" s="10" t="inlineStr">
        <is>
          <t>Counted in impressions, excluded from reach/frequency</t>
        </is>
      </c>
    </row>
    <row r="14"/>
    <row r="15"/>
    <row r="16" ht="30" customHeight="1">
      <c r="A16" s="9" t="inlineStr">
        <is>
          <t>Test</t>
        </is>
      </c>
      <c r="B16" s="9" t="inlineStr">
        <is>
          <t>Severity</t>
        </is>
      </c>
      <c r="C16" s="9" t="inlineStr">
        <is>
          <t>Status</t>
        </is>
      </c>
      <c r="D16" s="9" t="inlineStr">
        <is>
          <t>Failing Rows</t>
        </is>
      </c>
      <c r="E16" s="9" t="inlineStr">
        <is>
          <t>Description</t>
        </is>
      </c>
    </row>
    <row r="17">
      <c r="A17" s="10" t="inlineStr">
        <is>
          <t>test_billable_le_booked</t>
        </is>
      </c>
      <c r="B17" s="10" t="inlineStr">
        <is>
          <t>error</t>
        </is>
      </c>
      <c r="C17" s="10" t="inlineStr">
        <is>
          <t>PASS</t>
        </is>
      </c>
      <c r="D17" s="10" t="n">
        <v>0</v>
      </c>
      <c r="E17" s="10" t="inlineStr">
        <is>
          <t>cumulative billable impressions never exceed the booked goal</t>
        </is>
      </c>
    </row>
    <row r="18">
      <c r="A18" s="10" t="inlineStr">
        <is>
          <t>test_campaign_totals_reconcile</t>
        </is>
      </c>
      <c r="B18" s="10" t="inlineStr">
        <is>
          <t>error</t>
        </is>
      </c>
      <c r="C18" s="10" t="inlineStr">
        <is>
          <t>PASS</t>
        </is>
      </c>
      <c r="D18" s="10" t="n">
        <v>0</v>
      </c>
      <c r="E18" s="10" t="inlineStr">
        <is>
          <t>campaign report total equals paid in-flight impressions for in-scope campaigns (no leakage)</t>
        </is>
      </c>
    </row>
    <row r="19">
      <c r="A19" s="10" t="inlineStr">
        <is>
          <t>test_excluded_lines_not_reported</t>
        </is>
      </c>
      <c r="B19" s="10" t="inlineStr">
        <is>
          <t>error</t>
        </is>
      </c>
      <c r="C19" s="10" t="inlineStr">
        <is>
          <t>PASS</t>
        </is>
      </c>
      <c r="D19" s="10" t="n">
        <v>0</v>
      </c>
      <c r="E19" s="10" t="inlineStr">
        <is>
          <t>campaigns AdOps excluded (or test lines) never appear in the report</t>
        </is>
      </c>
    </row>
    <row r="20">
      <c r="A20" s="10" t="inlineStr">
        <is>
          <t>test_rate_bounds</t>
        </is>
      </c>
      <c r="B20" s="10" t="inlineStr">
        <is>
          <t>error</t>
        </is>
      </c>
      <c r="C20" s="10" t="inlineStr">
        <is>
          <t>PASS</t>
        </is>
      </c>
      <c r="D20" s="10" t="n">
        <v>0</v>
      </c>
      <c r="E20" s="10" t="inlineStr">
        <is>
          <t>all rates fall within [0, 1]</t>
        </is>
      </c>
    </row>
    <row r="21">
      <c r="A21" s="10" t="inlineStr">
        <is>
          <t>test_reach_le_impressions</t>
        </is>
      </c>
      <c r="B21" s="10" t="inlineStr">
        <is>
          <t>error</t>
        </is>
      </c>
      <c r="C21" s="10" t="inlineStr">
        <is>
          <t>PASS</t>
        </is>
      </c>
      <c r="D21" s="10" t="n">
        <v>0</v>
      </c>
      <c r="E21" s="10" t="inlineStr">
        <is>
          <t>unique reach can never exceed impressions</t>
        </is>
      </c>
    </row>
    <row r="22">
      <c r="A22" s="10" t="inlineStr">
        <is>
          <t>test_scope_campaigns_reported</t>
        </is>
      </c>
      <c r="B22" s="10" t="inlineStr">
        <is>
          <t>error</t>
        </is>
      </c>
      <c r="C22" s="10" t="inlineStr">
        <is>
          <t>PASS</t>
        </is>
      </c>
      <c r="D22" s="10" t="n">
        <v>0</v>
      </c>
      <c r="E22" s="10" t="inlineStr">
        <is>
          <t>every campaign AdOps marked include=Y appears in the campaign report</t>
        </is>
      </c>
    </row>
    <row r="23">
      <c r="A23" s="10" t="inlineStr">
        <is>
          <t>test_title_totals_reconcile</t>
        </is>
      </c>
      <c r="B23" s="10" t="inlineStr">
        <is>
          <t>error</t>
        </is>
      </c>
      <c r="C23" s="10" t="inlineStr">
        <is>
          <t>PASS</t>
        </is>
      </c>
      <c r="D23" s="10" t="n">
        <v>0</v>
      </c>
      <c r="E23" s="10" t="inlineStr">
        <is>
          <t>title-level paid impressions equal the sum of placement-level paid impressions</t>
        </is>
      </c>
    </row>
    <row r="24">
      <c r="A24" s="10" t="inlineStr">
        <is>
          <t>test_unique_impression_id</t>
        </is>
      </c>
      <c r="B24" s="10" t="inlineStr">
        <is>
          <t>error</t>
        </is>
      </c>
      <c r="C24" s="10" t="inlineStr">
        <is>
          <t>PASS</t>
        </is>
      </c>
      <c r="D24" s="10" t="n">
        <v>0</v>
      </c>
      <c r="E24" s="10" t="inlineStr">
        <is>
          <t>stg_impressions must have exactly one row per impression_id</t>
        </is>
      </c>
    </row>
    <row r="25">
      <c r="A25" s="10" t="inlineStr">
        <is>
          <t>test_viewable_le_impressions</t>
        </is>
      </c>
      <c r="B25" s="10" t="inlineStr">
        <is>
          <t>error</t>
        </is>
      </c>
      <c r="C25" s="10" t="inlineStr">
        <is>
          <t>PASS</t>
        </is>
      </c>
      <c r="D25" s="10" t="n">
        <v>0</v>
      </c>
      <c r="E25" s="10" t="inlineStr">
        <is>
          <t>viewable impressions can never exceed impressions</t>
        </is>
      </c>
    </row>
    <row r="26">
      <c r="A26" s="10" t="inlineStr">
        <is>
          <t>warn_orphan_campaigns</t>
        </is>
      </c>
      <c r="B26" s="10" t="inlineStr">
        <is>
          <t>warn</t>
        </is>
      </c>
      <c r="C26" s="10" t="inlineStr">
        <is>
          <t>WARN</t>
        </is>
      </c>
      <c r="D26" s="10" t="n">
        <v>1</v>
      </c>
      <c r="E26" s="10" t="inlineStr">
        <is>
          <t>telemetry references campaign IDs missing from the AdOps manifest</t>
        </is>
      </c>
    </row>
    <row r="27">
      <c r="A27" s="10" t="inlineStr">
        <is>
          <t>warn_out_of_flight</t>
        </is>
      </c>
      <c r="B27" s="10" t="inlineStr">
        <is>
          <t>warn</t>
        </is>
      </c>
      <c r="C27" s="10" t="inlineStr">
        <is>
          <t>WARN</t>
        </is>
      </c>
      <c r="D27" s="10" t="n">
        <v>1</v>
      </c>
      <c r="E27" s="10" t="inlineStr">
        <is>
          <t>impressions served outside the booked flight window</t>
        </is>
      </c>
    </row>
    <row r="28">
      <c r="A28" s="10" t="inlineStr">
        <is>
          <t>warn_pacing</t>
        </is>
      </c>
      <c r="B28" s="10" t="inlineStr">
        <is>
          <t>warn</t>
        </is>
      </c>
      <c r="C28" s="10" t="inlineStr">
        <is>
          <t>WARN</t>
        </is>
      </c>
      <c r="D28" s="10" t="n">
        <v>7</v>
      </c>
      <c r="E28" s="10" t="inlineStr">
        <is>
          <t>campaigns pacing more than 10% off goal (flight-to-date)</t>
        </is>
      </c>
    </row>
    <row r="29">
      <c r="A29" s="10" t="inlineStr">
        <is>
          <t>warn_source_discrepancy</t>
        </is>
      </c>
      <c r="B29" s="10" t="inlineStr">
        <is>
          <t>warn</t>
        </is>
      </c>
      <c r="C29" s="10" t="inlineStr">
        <is>
          <t>WARN</t>
        </is>
      </c>
      <c r="D29" s="10" t="n">
        <v>2</v>
      </c>
      <c r="E29" s="10" t="inlineStr">
        <is>
          <t>telemetry vs ad-server fill differs by more than 2% (beacon loss or double-firing)</t>
        </is>
      </c>
    </row>
    <row r="30">
      <c r="A30" s="10" t="inlineStr">
        <is>
          <t>warn_zero_delivery</t>
        </is>
      </c>
      <c r="B30" s="10" t="inlineStr">
        <is>
          <t>warn</t>
        </is>
      </c>
      <c r="C30" s="10" t="inlineStr">
        <is>
          <t>WARN</t>
        </is>
      </c>
      <c r="D30" s="10" t="n">
        <v>1</v>
      </c>
      <c r="E30" s="10" t="inlineStr">
        <is>
          <t>in-scope campaigns with zero delivery this month (check trafficking with AdOps)</t>
        </is>
      </c>
    </row>
  </sheetData>
  <conditionalFormatting sqref="C17:C30">
    <cfRule type="expression" priority="1" dxfId="2">
      <formula>C17="PASS"</formula>
    </cfRule>
    <cfRule type="expression" priority="2" dxfId="1">
      <formula>C17="WARN"</formula>
    </cfRule>
    <cfRule type="expression" priority="3" dxfId="0">
      <formula>C17="FAIL"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37" customWidth="1" min="4" max="4"/>
  </cols>
  <sheetData>
    <row r="1">
      <c r="A1" s="1" t="inlineStr">
        <is>
          <t>AdOps Reporting Scope</t>
        </is>
      </c>
    </row>
    <row r="2">
      <c r="A2" s="2" t="inlineStr">
        <is>
          <t>Campaign list agreed with AdOps for September 2026 (config/adops_scope_2026-09.csv).</t>
        </is>
      </c>
    </row>
    <row r="3"/>
    <row r="4" ht="30" customHeight="1">
      <c r="A4" s="9" t="inlineStr">
        <is>
          <t>Campaign Id</t>
        </is>
      </c>
      <c r="B4" s="9" t="inlineStr">
        <is>
          <t>Advertiser</t>
        </is>
      </c>
      <c r="C4" s="9" t="inlineStr">
        <is>
          <t>Include In Report</t>
        </is>
      </c>
      <c r="D4" s="9" t="inlineStr">
        <is>
          <t>Adops Note</t>
        </is>
      </c>
    </row>
    <row r="5">
      <c r="A5" s="10" t="inlineStr">
        <is>
          <t>CMP-26-001</t>
        </is>
      </c>
      <c r="B5" s="10" t="inlineStr">
        <is>
          <t>Voltage Energy</t>
        </is>
      </c>
      <c r="C5" s="10" t="b">
        <v>1</v>
      </c>
      <c r="D5" s="10" t="inlineStr"/>
    </row>
    <row r="6">
      <c r="A6" s="10" t="inlineStr">
        <is>
          <t>CMP-26-002</t>
        </is>
      </c>
      <c r="B6" s="10" t="inlineStr">
        <is>
          <t>Summit Motors</t>
        </is>
      </c>
      <c r="C6" s="10" t="b">
        <v>1</v>
      </c>
      <c r="D6" s="10" t="inlineStr"/>
    </row>
    <row r="7">
      <c r="A7" s="10" t="inlineStr">
        <is>
          <t>CMP-26-003</t>
        </is>
      </c>
      <c r="B7" s="10" t="inlineStr">
        <is>
          <t>Peak Athletic</t>
        </is>
      </c>
      <c r="C7" s="10" t="b">
        <v>1</v>
      </c>
      <c r="D7" s="10" t="inlineStr"/>
    </row>
    <row r="8">
      <c r="A8" s="10" t="inlineStr">
        <is>
          <t>CMP-26-004</t>
        </is>
      </c>
      <c r="B8" s="10" t="inlineStr">
        <is>
          <t>Nimbus Streaming</t>
        </is>
      </c>
      <c r="C8" s="10" t="b">
        <v>1</v>
      </c>
      <c r="D8" s="10" t="inlineStr"/>
    </row>
    <row r="9">
      <c r="A9" s="10" t="inlineStr">
        <is>
          <t>CMP-26-005</t>
        </is>
      </c>
      <c r="B9" s="10" t="inlineStr">
        <is>
          <t>Crisp Chips</t>
        </is>
      </c>
      <c r="C9" s="10" t="b">
        <v>1</v>
      </c>
      <c r="D9" s="10" t="inlineStr"/>
    </row>
    <row r="10">
      <c r="A10" s="10" t="inlineStr">
        <is>
          <t>CMP-26-006</t>
        </is>
      </c>
      <c r="B10" s="10" t="inlineStr">
        <is>
          <t>Ironclad Insurance</t>
        </is>
      </c>
      <c r="C10" s="10" t="b">
        <v>1</v>
      </c>
      <c r="D10" s="10" t="inlineStr"/>
    </row>
    <row r="11">
      <c r="A11" s="10" t="inlineStr">
        <is>
          <t>CMP-26-007</t>
        </is>
      </c>
      <c r="B11" s="10" t="inlineStr">
        <is>
          <t>Orbit Wireless</t>
        </is>
      </c>
      <c r="C11" s="10" t="b">
        <v>1</v>
      </c>
      <c r="D11" s="10" t="inlineStr"/>
    </row>
    <row r="12">
      <c r="A12" s="10" t="inlineStr">
        <is>
          <t>CMP-26-008</t>
        </is>
      </c>
      <c r="B12" s="10" t="inlineStr">
        <is>
          <t>Summit Motors</t>
        </is>
      </c>
      <c r="C12" s="10" t="b">
        <v>1</v>
      </c>
      <c r="D12" s="10" t="inlineStr"/>
    </row>
    <row r="13">
      <c r="A13" s="10" t="inlineStr">
        <is>
          <t>CMP-26-009</t>
        </is>
      </c>
      <c r="B13" s="10" t="inlineStr">
        <is>
          <t>Peak Athletic</t>
        </is>
      </c>
      <c r="C13" s="10" t="b">
        <v>1</v>
      </c>
      <c r="D13" s="10" t="inlineStr">
        <is>
          <t>New inventory: GRD skills challenge</t>
        </is>
      </c>
    </row>
    <row r="14">
      <c r="A14" s="10" t="inlineStr">
        <is>
          <t>CMP-26-011</t>
        </is>
      </c>
      <c r="B14" s="10" t="inlineStr">
        <is>
          <t>Voltage Energy</t>
        </is>
      </c>
      <c r="C14" s="10" t="b">
        <v>1</v>
      </c>
      <c r="D14" s="10" t="inlineStr"/>
    </row>
    <row r="15">
      <c r="A15" s="10" t="inlineStr">
        <is>
          <t>CMP-26-012</t>
        </is>
      </c>
      <c r="B15" s="10" t="inlineStr">
        <is>
          <t>Nimbus Streaming</t>
        </is>
      </c>
      <c r="C15" s="10" t="b">
        <v>1</v>
      </c>
      <c r="D15" s="10" t="inlineStr"/>
    </row>
    <row r="16">
      <c r="A16" s="10" t="inlineStr">
        <is>
          <t>CMP-26-013</t>
        </is>
      </c>
      <c r="B16" s="10" t="inlineStr">
        <is>
          <t>Lumen Bank</t>
        </is>
      </c>
      <c r="C16" s="10" t="b">
        <v>1</v>
      </c>
      <c r="D16" s="10" t="inlineStr"/>
    </row>
    <row r="17">
      <c r="A17" s="10" t="inlineStr">
        <is>
          <t>CMP-26-014</t>
        </is>
      </c>
      <c r="B17" s="10" t="inlineStr">
        <is>
          <t>FreshCart Grocery</t>
        </is>
      </c>
      <c r="C17" s="10" t="b">
        <v>1</v>
      </c>
      <c r="D17" s="10" t="inlineStr"/>
    </row>
    <row r="18">
      <c r="A18" s="10" t="inlineStr">
        <is>
          <t>CMP-26-015</t>
        </is>
      </c>
      <c r="B18" s="10" t="inlineStr">
        <is>
          <t>Crisp Chips</t>
        </is>
      </c>
      <c r="C18" s="10" t="b">
        <v>1</v>
      </c>
      <c r="D18" s="10" t="inlineStr"/>
    </row>
    <row r="19">
      <c r="A19" s="10" t="inlineStr">
        <is>
          <t>CMP-26-016</t>
        </is>
      </c>
      <c r="B19" s="10" t="inlineStr">
        <is>
          <t>Orbit Wireless</t>
        </is>
      </c>
      <c r="C19" s="10" t="b">
        <v>1</v>
      </c>
      <c r="D19" s="10" t="inlineStr"/>
    </row>
    <row r="20">
      <c r="A20" s="10" t="inlineStr">
        <is>
          <t>CMP-26-018</t>
        </is>
      </c>
      <c r="B20" s="10" t="inlineStr">
        <is>
          <t>Halo Headphones</t>
        </is>
      </c>
      <c r="C20" s="10" t="b">
        <v>1</v>
      </c>
      <c r="D20" s="10" t="inlineStr"/>
    </row>
    <row r="21">
      <c r="A21" s="10" t="inlineStr">
        <is>
          <t>CMP-26-019</t>
        </is>
      </c>
      <c r="B21" s="10" t="inlineStr">
        <is>
          <t>Ironclad Insurance</t>
        </is>
      </c>
      <c r="C21" s="10" t="b">
        <v>1</v>
      </c>
      <c r="D21" s="10" t="inlineStr">
        <is>
          <t>Booked; trafficking not confirmed</t>
        </is>
      </c>
    </row>
    <row r="22">
      <c r="A22" s="10" t="inlineStr">
        <is>
          <t>CMP-26-T01</t>
        </is>
      </c>
      <c r="B22" s="10" t="inlineStr">
        <is>
          <t>INTERNAL QA</t>
        </is>
      </c>
      <c r="C22" s="10" t="b">
        <v>0</v>
      </c>
      <c r="D22" s="10" t="inlineStr">
        <is>
          <t>QA test line - exclude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4" customWidth="1" min="3" max="3"/>
    <col width="60" customWidth="1" min="4" max="4"/>
  </cols>
  <sheetData>
    <row r="1">
      <c r="A1" s="1" t="inlineStr">
        <is>
          <t>KPI Definitions</t>
        </is>
      </c>
    </row>
    <row r="2">
      <c r="A2" s="2" t="inlineStr">
        <is>
          <t>Source: config/kpi_definitions.yml. Every KPI maps to a documented SQL model.</t>
        </is>
      </c>
    </row>
    <row r="4" ht="30" customHeight="1">
      <c r="A4" s="9" t="inlineStr">
        <is>
          <t>Name</t>
        </is>
      </c>
      <c r="B4" s="9" t="inlineStr">
        <is>
          <t>Formula</t>
        </is>
      </c>
      <c r="C4" s="9" t="inlineStr">
        <is>
          <t>Source</t>
        </is>
      </c>
      <c r="D4" s="9" t="inlineStr">
        <is>
          <t>Notes</t>
        </is>
      </c>
    </row>
    <row r="5">
      <c r="A5" s="20" t="inlineStr">
        <is>
          <t>Ad requests (avails)</t>
        </is>
      </c>
      <c r="B5" s="20" t="inlineStr">
        <is>
          <t>count of ad requests logged by the ad server</t>
        </is>
      </c>
      <c r="C5" s="20" t="inlineStr">
        <is>
          <t>stg_ad_requests.ad_requests</t>
        </is>
      </c>
      <c r="D5" s="20" t="inlineStr">
        <is>
          <t>Proxy for available inventory. Requests that never render are not avails.</t>
        </is>
      </c>
    </row>
    <row r="6">
      <c r="A6" s="20" t="inlineStr">
        <is>
          <t>Fill rate</t>
        </is>
      </c>
      <c r="B6" s="20" t="inlineStr">
        <is>
          <t>ad_server_filled / ad_requests</t>
        </is>
      </c>
      <c r="C6" s="20" t="inlineStr">
        <is>
          <t>mart_placement_monthly, mart_title_monthly</t>
        </is>
      </c>
      <c r="D6" s="20" t="inlineStr">
        <is>
          <t>Includes house fills. Ad-server count, not client telemetry.</t>
        </is>
      </c>
    </row>
    <row r="7">
      <c r="A7" s="20" t="inlineStr">
        <is>
          <t>Paid impressions</t>
        </is>
      </c>
      <c r="B7" s="20" t="inlineStr">
        <is>
          <t>count of de-duplicated impressions where impression_class = 'paid_in_flight'</t>
        </is>
      </c>
      <c r="C7" s="20" t="inlineStr">
        <is>
          <t>int_impressions_classified</t>
        </is>
      </c>
      <c r="D7" s="20" t="inlineStr">
        <is>
          <t>Excludes house, test, orphan and out-of-flight impressions.</t>
        </is>
      </c>
    </row>
    <row r="8">
      <c r="A8" s="20" t="inlineStr">
        <is>
          <t>Sell-through rate</t>
        </is>
      </c>
      <c r="B8" s="20" t="inlineStr">
        <is>
          <t>paid_impressions / ad_requests</t>
        </is>
      </c>
      <c r="C8" s="20" t="inlineStr">
        <is>
          <t>mart_placement_monthly, mart_title_monthly</t>
        </is>
      </c>
      <c r="D8" s="20" t="inlineStr">
        <is>
          <t>Share of avails sold to paying advertisers.</t>
        </is>
      </c>
    </row>
    <row r="9">
      <c r="A9" s="20" t="inlineStr">
        <is>
          <t>Viewable impressions</t>
        </is>
      </c>
      <c r="B9" s="20" t="inlineStr">
        <is>
          <t>display: pct_in_view &gt;= 50 AND in_view_ms &gt;= 1000; video: pct_in_view &gt;= 50 AND in_view_ms &gt;= 2000</t>
        </is>
      </c>
      <c r="C9" s="20" t="inlineStr">
        <is>
          <t>stg_impressions.is_viewable</t>
        </is>
      </c>
      <c r="D9" s="20" t="inlineStr">
        <is>
          <t>MRC viewability standard applied to in-game client measurement.</t>
        </is>
      </c>
    </row>
    <row r="10">
      <c r="A10" s="20" t="inlineStr">
        <is>
          <t>Viewability rate</t>
        </is>
      </c>
      <c r="B10" s="20" t="inlineStr">
        <is>
          <t>viewable_impressions / paid_impressions</t>
        </is>
      </c>
      <c r="C10" s="20" t="inlineStr">
        <is>
          <t>marts</t>
        </is>
      </c>
      <c r="D10" s="20" t="inlineStr">
        <is>
          <t>All impressions are measured in-client, so measured rate = 100%.</t>
        </is>
      </c>
    </row>
    <row r="11">
      <c r="A11" s="20" t="inlineStr">
        <is>
          <t>Unique reach</t>
        </is>
      </c>
      <c r="B11" s="20" t="inlineStr">
        <is>
          <t>count(distinct player_id) over the reporting month</t>
        </is>
      </c>
      <c r="C11" s="20" t="inlineStr">
        <is>
          <t>marts</t>
        </is>
      </c>
      <c r="D11" s="20" t="inlineStr">
        <is>
          <t>Exact distinct count, not additive across titles or months. Null player_id rows excluded.</t>
        </is>
      </c>
    </row>
    <row r="12">
      <c r="A12" s="20" t="inlineStr">
        <is>
          <t>Average frequency</t>
        </is>
      </c>
      <c r="B12" s="20" t="inlineStr">
        <is>
          <t>impressions_with_player / unique_reach</t>
        </is>
      </c>
      <c r="C12" s="20" t="inlineStr">
        <is>
          <t>marts</t>
        </is>
      </c>
      <c r="D12" s="20" t="inlineStr">
        <is>
          <t>Numerator excludes null player_id rows so the ratio is consistent.</t>
        </is>
      </c>
    </row>
    <row r="13">
      <c r="A13" s="20" t="inlineStr">
        <is>
          <t>Video completion rate (VCR)</t>
        </is>
      </c>
      <c r="B13" s="20" t="inlineStr">
        <is>
          <t>video_completes / video_starts, complete = video_played_ms &gt;= video_duration_ms</t>
        </is>
      </c>
      <c r="C13" s="20" t="inlineStr">
        <is>
          <t>mart_campaign_monthly, mart_placement_monthly</t>
        </is>
      </c>
      <c r="D13" s="20" t="inlineStr">
        <is>
          <t>Quartile flags (25/50/75%) available in stg_impressions.</t>
        </is>
      </c>
    </row>
    <row r="14">
      <c r="A14" s="20" t="inlineStr">
        <is>
          <t>Expected impressions (month)</t>
        </is>
      </c>
      <c r="B14" s="20" t="inlineStr">
        <is>
          <t>booked_impressions * flight_days_in_month / flight_days</t>
        </is>
      </c>
      <c r="C14" s="20" t="inlineStr">
        <is>
          <t>dim_campaign_month</t>
        </is>
      </c>
      <c r="D14" s="20" t="inlineStr">
        <is>
          <t>Straight-line proration. Traffic-weighted proration is a planned enhancement.</t>
        </is>
      </c>
    </row>
    <row r="15">
      <c r="A15" s="20" t="inlineStr">
        <is>
          <t>Delivery % (month)</t>
        </is>
      </c>
      <c r="B15" s="20" t="inlineStr">
        <is>
          <t>impressions / expected_impressions_month</t>
        </is>
      </c>
      <c r="C15" s="20" t="inlineStr">
        <is>
          <t>mart_campaign_monthly</t>
        </is>
      </c>
      <c r="D15" s="20" t="inlineStr">
        <is>
          <t>Month-only view. Use flight-to-date pacing for status.</t>
        </is>
      </c>
    </row>
    <row r="16">
      <c r="A16" s="20" t="inlineStr">
        <is>
          <t>Pacing % (flight-to-date)</t>
        </is>
      </c>
      <c r="B16" s="20" t="inlineStr">
        <is>
          <t>delivered_to_date / (booked_impressions * flight_days_elapsed / flight_days)</t>
        </is>
      </c>
      <c r="C16" s="20" t="inlineStr">
        <is>
          <t>mart_campaign_monthly</t>
        </is>
      </c>
      <c r="D16" s="20" t="inlineStr">
        <is>
          <t>Status: &lt; 90% UNDER-PACING, &gt; 110% OVER-PACING, 0 impressions NO DELIVERY.</t>
        </is>
      </c>
    </row>
    <row r="17">
      <c r="A17" s="20" t="inlineStr">
        <is>
          <t>Billable impressions</t>
        </is>
      </c>
      <c r="B17" s="20" t="inlineStr">
        <is>
          <t>daily impressions capped so running total over the flight never exceeds booked (window function)</t>
        </is>
      </c>
      <c r="C17" s="20" t="inlineStr">
        <is>
          <t>int_campaign_daily.billable_impressions</t>
        </is>
      </c>
      <c r="D17" s="20" t="inlineStr">
        <is>
          <t>Over-delivery is treated as bonus / make-good, not billed.</t>
        </is>
      </c>
    </row>
    <row r="18">
      <c r="A18" s="20" t="inlineStr">
        <is>
          <t>Revenue (USD)</t>
        </is>
      </c>
      <c r="B18" s="20" t="inlineStr">
        <is>
          <t>billable_impressions / 1000 * cpm_usd</t>
        </is>
      </c>
      <c r="C18" s="20" t="inlineStr">
        <is>
          <t>mart_campaign_monthly, mart_title_monthly</t>
        </is>
      </c>
      <c r="D18" s="20" t="inlineStr">
        <is>
          <t>Recognized on billable delivery in the month.</t>
        </is>
      </c>
    </row>
    <row r="19">
      <c r="A19" s="20" t="inlineStr">
        <is>
          <t>eCPM (USD)</t>
        </is>
      </c>
      <c r="B19" s="20" t="inlineStr">
        <is>
          <t>revenue_usd / paid_impressions * 1000</t>
        </is>
      </c>
      <c r="C19" s="20" t="inlineStr">
        <is>
          <t>mart_title_monthly</t>
        </is>
      </c>
      <c r="D19" s="20" t="inlineStr">
        <is>
          <t>Effective yield per thousand paid impressions, after capping.</t>
        </is>
      </c>
    </row>
    <row r="20">
      <c r="A20" s="20" t="inlineStr">
        <is>
          <t>Telemetry vs ad-server discrepancy</t>
        </is>
      </c>
      <c r="B20" s="20" t="inlineStr">
        <is>
          <t>(telemetry_impressions - ad_server_filled) / ad_server_filled</t>
        </is>
      </c>
      <c r="C20" s="20" t="inlineStr">
        <is>
          <t>mart_placement_monthly</t>
        </is>
      </c>
      <c r="D20" s="20" t="inlineStr">
        <is>
          <t>&gt; 2% absolute flagged. Negative = client beacons lost; positive = double-firing.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2026-10-20T03:55:08Z</dcterms:created>
  <dcterms:modified xsi:type="dcterms:W3CDTF">2026-10-20T03:55:08Z</dcterms:modified>
</cp:coreProperties>
</file>